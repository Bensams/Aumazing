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E:\Projects\aumazing\docs\validation\"/>
    </mc:Choice>
  </mc:AlternateContent>
  <xr:revisionPtr revIDLastSave="0" documentId="13_ncr:1_{C5F9513D-B88C-4D8E-8082-D74F9FA9F603}" xr6:coauthVersionLast="47" xr6:coauthVersionMax="47" xr10:uidLastSave="{00000000-0000-0000-0000-000000000000}"/>
  <bookViews>
    <workbookView xWindow="8040" yWindow="1560" windowWidth="20460" windowHeight="10770" xr2:uid="{00000000-000D-0000-FFFF-FFFF00000000}"/>
  </bookViews>
  <sheets>
    <sheet name="Read Me" sheetId="1" r:id="rId1"/>
    <sheet name="Relevance" sheetId="2" r:id="rId2"/>
    <sheet name="Clarity" sheetId="3" r:id="rId3"/>
    <sheet name="Yes-No Checks"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37" i="4" l="1"/>
  <c r="O37" i="4"/>
  <c r="R37" i="4" s="1"/>
  <c r="P36" i="4"/>
  <c r="O36" i="4"/>
  <c r="R36" i="4" s="1"/>
  <c r="P35" i="4"/>
  <c r="O35" i="4"/>
  <c r="R35" i="4" s="1"/>
  <c r="P34" i="4"/>
  <c r="O34" i="4"/>
  <c r="R34" i="4" s="1"/>
  <c r="P33" i="4"/>
  <c r="O33" i="4"/>
  <c r="R33" i="4" s="1"/>
  <c r="P32" i="4"/>
  <c r="O32" i="4"/>
  <c r="R32" i="4" s="1"/>
  <c r="P31" i="4"/>
  <c r="O31" i="4"/>
  <c r="R31" i="4" s="1"/>
  <c r="P30" i="4"/>
  <c r="O30" i="4"/>
  <c r="R30" i="4" s="1"/>
  <c r="P29" i="4"/>
  <c r="O29" i="4"/>
  <c r="R29" i="4" s="1"/>
  <c r="P28" i="4"/>
  <c r="O28" i="4"/>
  <c r="R28" i="4" s="1"/>
  <c r="P27" i="4"/>
  <c r="O27" i="4"/>
  <c r="R27" i="4" s="1"/>
  <c r="P26" i="4"/>
  <c r="O26" i="4"/>
  <c r="R26" i="4" s="1"/>
  <c r="P25" i="4"/>
  <c r="O25" i="4"/>
  <c r="R25" i="4" s="1"/>
  <c r="P24" i="4"/>
  <c r="O24" i="4"/>
  <c r="R24" i="4" s="1"/>
  <c r="R23" i="4"/>
  <c r="Q23" i="4"/>
  <c r="P23" i="4"/>
  <c r="O23" i="4"/>
  <c r="P22" i="4"/>
  <c r="O22" i="4"/>
  <c r="R22" i="4" s="1"/>
  <c r="P21" i="4"/>
  <c r="O21" i="4"/>
  <c r="R21" i="4" s="1"/>
  <c r="P20" i="4"/>
  <c r="O20" i="4"/>
  <c r="Q20" i="4" s="1"/>
  <c r="P19" i="4"/>
  <c r="O19" i="4"/>
  <c r="R19" i="4" s="1"/>
  <c r="P18" i="4"/>
  <c r="O18" i="4"/>
  <c r="R18" i="4" s="1"/>
  <c r="P17" i="4"/>
  <c r="O17" i="4"/>
  <c r="R17" i="4" s="1"/>
  <c r="P16" i="4"/>
  <c r="O16" i="4"/>
  <c r="R16" i="4" s="1"/>
  <c r="P15" i="4"/>
  <c r="O15" i="4"/>
  <c r="R15" i="4" s="1"/>
  <c r="R14" i="4"/>
  <c r="Q14" i="4"/>
  <c r="P14" i="4"/>
  <c r="O14" i="4"/>
  <c r="P13" i="4"/>
  <c r="O13" i="4"/>
  <c r="R13" i="4" s="1"/>
  <c r="P12" i="4"/>
  <c r="O12" i="4"/>
  <c r="R12" i="4" s="1"/>
  <c r="P11" i="4"/>
  <c r="O11" i="4"/>
  <c r="R11" i="4" s="1"/>
  <c r="P10" i="4"/>
  <c r="O10" i="4"/>
  <c r="R10" i="4" s="1"/>
  <c r="P9" i="4"/>
  <c r="O9" i="4"/>
  <c r="R9" i="4" s="1"/>
  <c r="P8" i="4"/>
  <c r="O8" i="4"/>
  <c r="R8" i="4" s="1"/>
  <c r="P7" i="4"/>
  <c r="O7" i="4"/>
  <c r="R7" i="4" s="1"/>
  <c r="P6" i="4"/>
  <c r="O6" i="4"/>
  <c r="R6" i="4" s="1"/>
  <c r="R5" i="4"/>
  <c r="Q5" i="4"/>
  <c r="P5" i="4"/>
  <c r="O5" i="4"/>
  <c r="P31" i="3"/>
  <c r="O31" i="3"/>
  <c r="U31" i="3" s="1"/>
  <c r="V30" i="3"/>
  <c r="U30" i="3"/>
  <c r="T30" i="3"/>
  <c r="S30" i="3"/>
  <c r="R30" i="3"/>
  <c r="Q30" i="3"/>
  <c r="P30" i="3"/>
  <c r="O30" i="3"/>
  <c r="P29" i="3"/>
  <c r="O29" i="3"/>
  <c r="V29" i="3" s="1"/>
  <c r="V28" i="3"/>
  <c r="T28" i="3"/>
  <c r="P28" i="3"/>
  <c r="O28" i="3"/>
  <c r="U28" i="3" s="1"/>
  <c r="P27" i="3"/>
  <c r="O27" i="3"/>
  <c r="V27" i="3" s="1"/>
  <c r="T26" i="3"/>
  <c r="R26" i="3"/>
  <c r="Q26" i="3"/>
  <c r="P26" i="3"/>
  <c r="O26" i="3"/>
  <c r="V26" i="3" s="1"/>
  <c r="V25" i="3"/>
  <c r="T25" i="3"/>
  <c r="P25" i="3"/>
  <c r="O25" i="3"/>
  <c r="U25" i="3" s="1"/>
  <c r="U24" i="3"/>
  <c r="T24" i="3"/>
  <c r="S24" i="3"/>
  <c r="R24" i="3"/>
  <c r="Q24" i="3"/>
  <c r="P24" i="3"/>
  <c r="O24" i="3"/>
  <c r="V24" i="3" s="1"/>
  <c r="T23" i="3"/>
  <c r="P23" i="3"/>
  <c r="O23" i="3"/>
  <c r="V23" i="3" s="1"/>
  <c r="P22" i="3"/>
  <c r="O22" i="3"/>
  <c r="U22" i="3" s="1"/>
  <c r="V21" i="3"/>
  <c r="U21" i="3"/>
  <c r="S21" i="3"/>
  <c r="P21" i="3"/>
  <c r="O21" i="3"/>
  <c r="T21" i="3" s="1"/>
  <c r="P20" i="3"/>
  <c r="O20" i="3"/>
  <c r="V20" i="3" s="1"/>
  <c r="V19" i="3"/>
  <c r="T19" i="3"/>
  <c r="P19" i="3"/>
  <c r="O19" i="3"/>
  <c r="U19" i="3" s="1"/>
  <c r="P18" i="3"/>
  <c r="O18" i="3"/>
  <c r="V18" i="3" s="1"/>
  <c r="T17" i="3"/>
  <c r="R17" i="3"/>
  <c r="Q17" i="3"/>
  <c r="P17" i="3"/>
  <c r="O17" i="3"/>
  <c r="V17" i="3" s="1"/>
  <c r="P16" i="3"/>
  <c r="O16" i="3"/>
  <c r="U16" i="3" s="1"/>
  <c r="V15" i="3"/>
  <c r="U15" i="3"/>
  <c r="T15" i="3"/>
  <c r="S15" i="3"/>
  <c r="R15" i="3"/>
  <c r="Q15" i="3"/>
  <c r="P15" i="3"/>
  <c r="O15" i="3"/>
  <c r="P14" i="3"/>
  <c r="O14" i="3"/>
  <c r="V14" i="3" s="1"/>
  <c r="V13" i="3"/>
  <c r="T13" i="3"/>
  <c r="P13" i="3"/>
  <c r="O13" i="3"/>
  <c r="U13" i="3" s="1"/>
  <c r="P12" i="3"/>
  <c r="O12" i="3"/>
  <c r="V12" i="3" s="1"/>
  <c r="T11" i="3"/>
  <c r="R11" i="3"/>
  <c r="P11" i="3"/>
  <c r="O11" i="3"/>
  <c r="V11" i="3" s="1"/>
  <c r="P10" i="3"/>
  <c r="O10" i="3"/>
  <c r="U10" i="3" s="1"/>
  <c r="U9" i="3"/>
  <c r="T9" i="3"/>
  <c r="S9" i="3"/>
  <c r="R9" i="3"/>
  <c r="P9" i="3"/>
  <c r="O9" i="3"/>
  <c r="Q9" i="3" s="1"/>
  <c r="P8" i="3"/>
  <c r="O8" i="3"/>
  <c r="V8" i="3" s="1"/>
  <c r="P7" i="3"/>
  <c r="O7" i="3"/>
  <c r="U7" i="3" s="1"/>
  <c r="T6" i="3"/>
  <c r="P6" i="3"/>
  <c r="O6" i="3"/>
  <c r="V6" i="3" s="1"/>
  <c r="V27" i="2"/>
  <c r="T27" i="2"/>
  <c r="R27" i="2"/>
  <c r="P27" i="2"/>
  <c r="O27" i="2"/>
  <c r="U27" i="2" s="1"/>
  <c r="P26" i="2"/>
  <c r="O26" i="2"/>
  <c r="V26" i="2" s="1"/>
  <c r="V25" i="2"/>
  <c r="T25" i="2"/>
  <c r="R25" i="2"/>
  <c r="P25" i="2"/>
  <c r="O25" i="2"/>
  <c r="U25" i="2" s="1"/>
  <c r="P24" i="2"/>
  <c r="O24" i="2"/>
  <c r="U24" i="2" s="1"/>
  <c r="V23" i="2"/>
  <c r="U23" i="2"/>
  <c r="T23" i="2"/>
  <c r="S23" i="2"/>
  <c r="R23" i="2"/>
  <c r="Q23" i="2"/>
  <c r="P23" i="2"/>
  <c r="O23" i="2"/>
  <c r="P22" i="2"/>
  <c r="O22" i="2"/>
  <c r="U22" i="2" s="1"/>
  <c r="V21" i="2"/>
  <c r="T21" i="2"/>
  <c r="P21" i="2"/>
  <c r="O21" i="2"/>
  <c r="U21" i="2" s="1"/>
  <c r="P20" i="2"/>
  <c r="O20" i="2"/>
  <c r="V20" i="2" s="1"/>
  <c r="V19" i="2"/>
  <c r="T19" i="2"/>
  <c r="R19" i="2"/>
  <c r="Q19" i="2"/>
  <c r="P19" i="2"/>
  <c r="O19" i="2"/>
  <c r="U19" i="2" s="1"/>
  <c r="P18" i="2"/>
  <c r="O18" i="2"/>
  <c r="U18" i="2" s="1"/>
  <c r="V17" i="2"/>
  <c r="U17" i="2"/>
  <c r="T17" i="2"/>
  <c r="S17" i="2"/>
  <c r="R17" i="2"/>
  <c r="Q17" i="2"/>
  <c r="P17" i="2"/>
  <c r="O17" i="2"/>
  <c r="P16" i="2"/>
  <c r="O16" i="2"/>
  <c r="U16" i="2" s="1"/>
  <c r="V15" i="2"/>
  <c r="T15" i="2"/>
  <c r="R15" i="2"/>
  <c r="P15" i="2"/>
  <c r="O15" i="2"/>
  <c r="U15" i="2" s="1"/>
  <c r="S14" i="2"/>
  <c r="R14" i="2"/>
  <c r="Q14" i="2"/>
  <c r="P14" i="2"/>
  <c r="O14" i="2"/>
  <c r="T14" i="2" s="1"/>
  <c r="V13" i="2"/>
  <c r="T13" i="2"/>
  <c r="P13" i="2"/>
  <c r="O13" i="2"/>
  <c r="U13" i="2" s="1"/>
  <c r="P12" i="2"/>
  <c r="O12" i="2"/>
  <c r="U12" i="2" s="1"/>
  <c r="V11" i="2"/>
  <c r="U11" i="2"/>
  <c r="T11" i="2"/>
  <c r="P11" i="2"/>
  <c r="O11" i="2"/>
  <c r="S11" i="2" s="1"/>
  <c r="T10" i="2"/>
  <c r="R10" i="2"/>
  <c r="Q10" i="2"/>
  <c r="P10" i="2"/>
  <c r="O10" i="2"/>
  <c r="U10" i="2" s="1"/>
  <c r="V9" i="2"/>
  <c r="P9" i="2"/>
  <c r="O9" i="2"/>
  <c r="U9" i="2" s="1"/>
  <c r="T8" i="2"/>
  <c r="S8" i="2"/>
  <c r="R8" i="2"/>
  <c r="P8" i="2"/>
  <c r="O8" i="2"/>
  <c r="Q8" i="2" s="1"/>
  <c r="P7" i="2"/>
  <c r="O7" i="2"/>
  <c r="U7" i="2" s="1"/>
  <c r="V6" i="2"/>
  <c r="T6" i="2"/>
  <c r="R6" i="2"/>
  <c r="P6" i="2"/>
  <c r="O6" i="2"/>
  <c r="U6" i="2" s="1"/>
  <c r="B25" i="1"/>
  <c r="B23" i="1"/>
  <c r="B24" i="1" s="1"/>
  <c r="B22" i="1"/>
  <c r="Q11" i="4" l="1"/>
  <c r="Q29" i="4"/>
  <c r="T12" i="2"/>
  <c r="R18" i="3"/>
  <c r="R20" i="3"/>
  <c r="T22" i="3"/>
  <c r="R20" i="4"/>
  <c r="Q18" i="3"/>
  <c r="V8" i="2"/>
  <c r="T16" i="2"/>
  <c r="R20" i="2"/>
  <c r="V9" i="3"/>
  <c r="Q12" i="3"/>
  <c r="Q14" i="3"/>
  <c r="S18" i="3"/>
  <c r="T20" i="3"/>
  <c r="V22" i="3"/>
  <c r="V7" i="3"/>
  <c r="U14" i="2"/>
  <c r="T18" i="2"/>
  <c r="S20" i="2"/>
  <c r="R22" i="2"/>
  <c r="Q26" i="2"/>
  <c r="R12" i="3"/>
  <c r="R14" i="3"/>
  <c r="T16" i="3"/>
  <c r="T18" i="3"/>
  <c r="Q27" i="3"/>
  <c r="Q29" i="3"/>
  <c r="T7" i="3"/>
  <c r="V12" i="2"/>
  <c r="Q22" i="2"/>
  <c r="V14" i="2"/>
  <c r="V18" i="2"/>
  <c r="T20" i="2"/>
  <c r="T22" i="2"/>
  <c r="R24" i="2"/>
  <c r="R26" i="2"/>
  <c r="Q6" i="3"/>
  <c r="Q8" i="3"/>
  <c r="S12" i="3"/>
  <c r="T14" i="3"/>
  <c r="V16" i="3"/>
  <c r="U18" i="3"/>
  <c r="R27" i="3"/>
  <c r="R29" i="3"/>
  <c r="T31" i="3"/>
  <c r="Q8" i="4"/>
  <c r="Q17" i="4"/>
  <c r="Q26" i="4"/>
  <c r="Q35" i="4"/>
  <c r="R12" i="2"/>
  <c r="Q16" i="2"/>
  <c r="Q20" i="3"/>
  <c r="V10" i="2"/>
  <c r="R16" i="2"/>
  <c r="R18" i="2"/>
  <c r="Q7" i="2"/>
  <c r="V16" i="2"/>
  <c r="R7" i="2"/>
  <c r="Q11" i="2"/>
  <c r="T7" i="2"/>
  <c r="R9" i="2"/>
  <c r="R11" i="2"/>
  <c r="Q13" i="2"/>
  <c r="U20" i="2"/>
  <c r="V22" i="2"/>
  <c r="T24" i="2"/>
  <c r="S26" i="2"/>
  <c r="R6" i="3"/>
  <c r="R8" i="3"/>
  <c r="T10" i="3"/>
  <c r="T12" i="3"/>
  <c r="Q21" i="3"/>
  <c r="Q23" i="3"/>
  <c r="S27" i="3"/>
  <c r="T29" i="3"/>
  <c r="V31" i="3"/>
  <c r="U8" i="2"/>
  <c r="Q20" i="2"/>
  <c r="V7" i="2"/>
  <c r="T9" i="2"/>
  <c r="R13" i="2"/>
  <c r="V24" i="2"/>
  <c r="T26" i="2"/>
  <c r="S6" i="3"/>
  <c r="T8" i="3"/>
  <c r="V10" i="3"/>
  <c r="U12" i="3"/>
  <c r="R21" i="3"/>
  <c r="R23" i="3"/>
  <c r="T27" i="3"/>
  <c r="U26" i="2"/>
  <c r="H32" i="2" s="1"/>
  <c r="U27" i="3"/>
  <c r="U6" i="3"/>
  <c r="Q32" i="4"/>
  <c r="R21" i="2"/>
  <c r="Q25" i="2"/>
  <c r="Q11" i="3"/>
  <c r="B27" i="1"/>
  <c r="B26" i="1"/>
  <c r="H31" i="2"/>
  <c r="S7" i="2"/>
  <c r="S10" i="2"/>
  <c r="S13" i="2"/>
  <c r="S16" i="2"/>
  <c r="S19" i="2"/>
  <c r="S22" i="2"/>
  <c r="S25" i="2"/>
  <c r="S8" i="3"/>
  <c r="S11" i="3"/>
  <c r="S14" i="3"/>
  <c r="S17" i="3"/>
  <c r="S20" i="3"/>
  <c r="S23" i="3"/>
  <c r="S26" i="3"/>
  <c r="S29" i="3"/>
  <c r="Q6" i="2"/>
  <c r="Q9" i="2"/>
  <c r="Q12" i="2"/>
  <c r="Q15" i="2"/>
  <c r="Q18" i="2"/>
  <c r="Q21" i="2"/>
  <c r="Q24" i="2"/>
  <c r="Q27" i="2"/>
  <c r="Q7" i="3"/>
  <c r="U8" i="3"/>
  <c r="Q10" i="3"/>
  <c r="U11" i="3"/>
  <c r="Q13" i="3"/>
  <c r="U14" i="3"/>
  <c r="Q16" i="3"/>
  <c r="U17" i="3"/>
  <c r="Q19" i="3"/>
  <c r="U20" i="3"/>
  <c r="Q22" i="3"/>
  <c r="U23" i="3"/>
  <c r="Q25" i="3"/>
  <c r="U26" i="3"/>
  <c r="Q28" i="3"/>
  <c r="U29" i="3"/>
  <c r="H37" i="3" s="1"/>
  <c r="Q31" i="3"/>
  <c r="Q6" i="4"/>
  <c r="Q9" i="4"/>
  <c r="Q12" i="4"/>
  <c r="Q15" i="4"/>
  <c r="Q18" i="4"/>
  <c r="Q21" i="4"/>
  <c r="Q24" i="4"/>
  <c r="Q27" i="4"/>
  <c r="Q30" i="4"/>
  <c r="Q33" i="4"/>
  <c r="Q36" i="4"/>
  <c r="R7" i="3"/>
  <c r="R10" i="3"/>
  <c r="R13" i="3"/>
  <c r="R16" i="3"/>
  <c r="R19" i="3"/>
  <c r="R22" i="3"/>
  <c r="R25" i="3"/>
  <c r="R28" i="3"/>
  <c r="R31" i="3"/>
  <c r="S6" i="2"/>
  <c r="S9" i="2"/>
  <c r="S12" i="2"/>
  <c r="S15" i="2"/>
  <c r="S18" i="2"/>
  <c r="S21" i="2"/>
  <c r="S24" i="2"/>
  <c r="S27" i="2"/>
  <c r="S7" i="3"/>
  <c r="S10" i="3"/>
  <c r="S13" i="3"/>
  <c r="S16" i="3"/>
  <c r="S19" i="3"/>
  <c r="S22" i="3"/>
  <c r="S25" i="3"/>
  <c r="S28" i="3"/>
  <c r="S31" i="3"/>
  <c r="Q7" i="4"/>
  <c r="Q10" i="4"/>
  <c r="Q13" i="4"/>
  <c r="Q16" i="4"/>
  <c r="Q19" i="4"/>
  <c r="Q22" i="4"/>
  <c r="Q25" i="4"/>
  <c r="Q28" i="4"/>
  <c r="Q31" i="4"/>
  <c r="Q34" i="4"/>
  <c r="Q37" i="4"/>
  <c r="H35" i="3" l="1"/>
  <c r="H36" i="3"/>
  <c r="G32" i="2"/>
  <c r="E35" i="3"/>
  <c r="G35" i="3"/>
  <c r="F35" i="3"/>
  <c r="F36" i="3"/>
  <c r="G36" i="3"/>
  <c r="E36" i="3"/>
  <c r="F32" i="2"/>
  <c r="E32" i="2"/>
  <c r="G37" i="3"/>
  <c r="F37" i="3"/>
  <c r="E37" i="3"/>
  <c r="G31" i="2"/>
  <c r="F31" i="2"/>
  <c r="E31"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Aumazing</author>
  </authors>
  <commentList>
    <comment ref="Q5" authorId="0" shapeId="0" xr:uid="{00000000-0006-0000-0100-000001000000}">
      <text>
        <r>
          <rPr>
            <sz val="11"/>
            <color theme="1"/>
            <rFont val="Calibri"/>
            <family val="2"/>
            <scheme val="minor"/>
          </rPr>
          <t>I-CVI = A / N: the proportion of experts rating the item 3 or 4.</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Aumazing</author>
  </authors>
  <commentList>
    <comment ref="Q5" authorId="0" shapeId="0" xr:uid="{00000000-0006-0000-0200-000001000000}">
      <text>
        <r>
          <rPr>
            <sz val="11"/>
            <color theme="1"/>
            <rFont val="Calibri"/>
            <family val="2"/>
            <scheme val="minor"/>
          </rPr>
          <t>I-CVI = A / N: the proportion of experts rating the item 3 or 4.</t>
        </r>
      </text>
    </comment>
  </commentList>
</comments>
</file>

<file path=xl/sharedStrings.xml><?xml version="1.0" encoding="utf-8"?>
<sst xmlns="http://schemas.openxmlformats.org/spreadsheetml/2006/main" count="443" uniqueCount="145">
  <si>
    <t>Aumazing content validity calculator</t>
  </si>
  <si>
    <t>Purpose</t>
  </si>
  <si>
    <t>Computes content validity from the experts' ratings on the Aumazing Expert Content Validity Rating Sheet. Enter each returned sheet as one expert column.</t>
  </si>
  <si>
    <t>Where to type</t>
  </si>
  <si>
    <t>Only the yellow cells (blue numbers): 1-4 on Relevance and Clarity, Y or N on Yes-No Checks. Everything else is a formula.</t>
  </si>
  <si>
    <t>Experts</t>
  </si>
  <si>
    <t>Up to 10. Lynn (1986) recommends at least 3; with 3-5 experts every expert must rate an item 3 or 4, with 6 or more the I-CVI must be at least .78.</t>
  </si>
  <si>
    <t>I-CVI</t>
  </si>
  <si>
    <t>Experts rating the item 3 or 4, divided by experts who rated it.</t>
  </si>
  <si>
    <t>Modified kappa (k*)</t>
  </si>
  <si>
    <t>I-CVI adjusted for chance agreement. Pc = COMBIN(N, A) x 0.5^N; k* = (I-CVI - Pc) / (1 - Pc). Above .74 excellent, .60-.74 good, .40-.59 fair (Polit, Beck, &amp; Owen, 2007).</t>
  </si>
  <si>
    <t>S-CVI/Ave</t>
  </si>
  <si>
    <t>Average I-CVI of a part; .90 or higher is excellent (Polit &amp; Beck, 2006).</t>
  </si>
  <si>
    <t>Clarity</t>
  </si>
  <si>
    <t>Computed the same way to guide rewording; it is not a validity index.</t>
  </si>
  <si>
    <t>Next step</t>
  </si>
  <si>
    <t>Revise items marked Revise using the comments and have them rated again. Enter the final version in the practitioner portal and mark it validated.</t>
  </si>
  <si>
    <t>Source of the items</t>
  </si>
  <si>
    <t>The app's built-in questions, exported from packages/questionnaire_core.</t>
  </si>
  <si>
    <t>References</t>
  </si>
  <si>
    <t>Lynn, M. R. (1986). Determination and quantification of content validity. Nursing Research, 35(6), 382-385.</t>
  </si>
  <si>
    <t>Polit, D. F., &amp; Beck, C. T. (2006). The content validity index: Are you sure you know what's being reported? Critique and recommendations. Research in Nursing &amp; Health, 29(5), 489-497.</t>
  </si>
  <si>
    <t>Polit, D. F., Beck, C. T., &amp; Owen, S. V. (2007). Is the CVI an acceptable indicator of content validity? Appraisal and recommendations. Research in Nursing &amp; Health, 30(4), 459-467.</t>
  </si>
  <si>
    <t>Worked example</t>
  </si>
  <si>
    <t>Five experts rate one item 4, 3, 4, 2, 4. Change the yellow cells to see the results move.</t>
  </si>
  <si>
    <t>Expert 1</t>
  </si>
  <si>
    <t>Expert 2</t>
  </si>
  <si>
    <t>Expert 3</t>
  </si>
  <si>
    <t>Expert 4</t>
  </si>
  <si>
    <t>Expert 5</t>
  </si>
  <si>
    <t>N</t>
  </si>
  <si>
    <t>A (rated 3 or 4)</t>
  </si>
  <si>
    <t>Pc</t>
  </si>
  <si>
    <t>k*</t>
  </si>
  <si>
    <t>Decision</t>
  </si>
  <si>
    <t>With five experts every one must rate 3 or 4, so this item is revised even though its I-CVI is .80.</t>
  </si>
  <si>
    <t>Relevance ratings (content validity)</t>
  </si>
  <si>
    <t>Parts A and B. Part C is background only and is rated for clarity.</t>
  </si>
  <si>
    <t>Enter each expert's rating (1-4) in the yellow cells; leave a cell empty if that expert did not rate the item.</t>
  </si>
  <si>
    <t>No.</t>
  </si>
  <si>
    <t>Part</t>
  </si>
  <si>
    <t>Area / asked</t>
  </si>
  <si>
    <t>Question</t>
  </si>
  <si>
    <t>Expert 6</t>
  </si>
  <si>
    <t>Expert 7</t>
  </si>
  <si>
    <t>Expert 8</t>
  </si>
  <si>
    <t>Expert 9</t>
  </si>
  <si>
    <t>Expert 10</t>
  </si>
  <si>
    <t>Experts (N)</t>
  </si>
  <si>
    <t>Rated 3 or 4 (A)</t>
  </si>
  <si>
    <t>Required I-CVI</t>
  </si>
  <si>
    <t>k* rating</t>
  </si>
  <si>
    <t>A1</t>
  </si>
  <si>
    <t>A. Home</t>
  </si>
  <si>
    <t>Communication</t>
  </si>
  <si>
    <t>My child responds when I call their name.</t>
  </si>
  <si>
    <t>A2</t>
  </si>
  <si>
    <t>My child uses words, signs or gestures to ask for what they want.</t>
  </si>
  <si>
    <t>A3</t>
  </si>
  <si>
    <t>My child follows a simple one-step instruction, like "Give me the ball."</t>
  </si>
  <si>
    <t>A4</t>
  </si>
  <si>
    <t>My child points to show me something interesting.</t>
  </si>
  <si>
    <t>A5</t>
  </si>
  <si>
    <t>Play Skills</t>
  </si>
  <si>
    <t>My child plays with toys the way they are meant to be used, like pushing a car or stacking blocks.</t>
  </si>
  <si>
    <t>A6</t>
  </si>
  <si>
    <t>My child plays pretend, like feeding a doll or talking on a toy phone.</t>
  </si>
  <si>
    <t>A7</t>
  </si>
  <si>
    <t>My child copies a simple action I show them during play.</t>
  </si>
  <si>
    <t>A8</t>
  </si>
  <si>
    <t>My child stays with one toy or game for a few minutes.</t>
  </si>
  <si>
    <t>A9</t>
  </si>
  <si>
    <t>Social Interaction</t>
  </si>
  <si>
    <t>My child looks at my face when I talk or play with them.</t>
  </si>
  <si>
    <t>A10</t>
  </si>
  <si>
    <t>My child waits for their turn in a simple game.</t>
  </si>
  <si>
    <t>A11</t>
  </si>
  <si>
    <t>My child waves or greets back when someone says hello.</t>
  </si>
  <si>
    <t>A12</t>
  </si>
  <si>
    <t>My child brings or shows me things to share their interest.</t>
  </si>
  <si>
    <t>A13</t>
  </si>
  <si>
    <t>Attention &amp; Focus</t>
  </si>
  <si>
    <t>My child sits with me and finishes a short activity.</t>
  </si>
  <si>
    <t>A14</t>
  </si>
  <si>
    <t>When I point at something, my child looks where I am pointing.</t>
  </si>
  <si>
    <t>A15</t>
  </si>
  <si>
    <t>My child goes back to a task after a small distraction.</t>
  </si>
  <si>
    <t>A16</t>
  </si>
  <si>
    <t>My child listens to a short instruction without walking away.</t>
  </si>
  <si>
    <t>B1</t>
  </si>
  <si>
    <t>B. After the session</t>
  </si>
  <si>
    <t>Each game</t>
  </si>
  <si>
    <t>Did your child understand what to do?</t>
  </si>
  <si>
    <t>B2</t>
  </si>
  <si>
    <t>How much did you help?</t>
  </si>
  <si>
    <t>B3</t>
  </si>
  <si>
    <t>How did your child seem?</t>
  </si>
  <si>
    <t>B4</t>
  </si>
  <si>
    <t>Compared with how your child usually does tasks like this:</t>
  </si>
  <si>
    <t>B5</t>
  </si>
  <si>
    <t>Once</t>
  </si>
  <si>
    <t>Was today a typical day for your child?</t>
  </si>
  <si>
    <t>B6</t>
  </si>
  <si>
    <t>Anything else you noticed? (optional)</t>
  </si>
  <si>
    <t>Scale-level results</t>
  </si>
  <si>
    <t>Items rated</t>
  </si>
  <si>
    <t>S-CVI/UA</t>
  </si>
  <si>
    <t>Items to revise</t>
  </si>
  <si>
    <t>S-CVI/Ave: average I-CVI; .90 or higher is excellent (Polit &amp; Beck, 2006). S-CVI/UA: share of items every expert rated 3 or 4.</t>
  </si>
  <si>
    <t>Clarity ratings</t>
  </si>
  <si>
    <t>All parts. Low clarity means rewording, not removing.</t>
  </si>
  <si>
    <t>C1</t>
  </si>
  <si>
    <t>C. Before the session</t>
  </si>
  <si>
    <t>Who is watching?</t>
  </si>
  <si>
    <t>C2</t>
  </si>
  <si>
    <t>Has your child been diagnosed with autism?</t>
  </si>
  <si>
    <t>C3</t>
  </si>
  <si>
    <t>Where does your child go to school?</t>
  </si>
  <si>
    <t>C4</t>
  </si>
  <si>
    <t>Current therapy (choose any)</t>
  </si>
  <si>
    <t>Yes / No judgements</t>
  </si>
  <si>
    <t>Part A: is the statement in the right area? Parts B and C: are the answer choices complete and appropriate? Flags: keep the flag? Enter Y or N in the yellow cells.</t>
  </si>
  <si>
    <t>Check</t>
  </si>
  <si>
    <t>Item</t>
  </si>
  <si>
    <t>Answered</t>
  </si>
  <si>
    <t>Yes</t>
  </si>
  <si>
    <t>% Yes</t>
  </si>
  <si>
    <t>Right area?</t>
  </si>
  <si>
    <t>Answer choices OK?</t>
  </si>
  <si>
    <t>F1</t>
  </si>
  <si>
    <t>Keep flag?</t>
  </si>
  <si>
    <t>"No" shows: Did not understand the task</t>
  </si>
  <si>
    <t>F2</t>
  </si>
  <si>
    <t>"Pointed or showed" shows: Played with help (pointed or showed)</t>
  </si>
  <si>
    <t>F3</t>
  </si>
  <si>
    <t>"Helped their hand" shows: Played with help (helped their hand)</t>
  </si>
  <si>
    <t>F4</t>
  </si>
  <si>
    <t>"Frustrated or upset" shows: Was frustrated or upset</t>
  </si>
  <si>
    <t>F5</t>
  </si>
  <si>
    <t>"Worse than usual" shows: Worse than usual</t>
  </si>
  <si>
    <t>F6</t>
  </si>
  <si>
    <t>"Tired or sick" shows: Not a typical day (tired or sick)</t>
  </si>
  <si>
    <t>F7</t>
  </si>
  <si>
    <t>"New place or distracted" shows: Not a typical day (new place or distracted)</t>
  </si>
  <si>
    <t>Items answered Yes by fewer than 78% of experts are reviewed with the experts' comments, using the same cut-off as the I-CVI.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</si>
</sst>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4"/>
      <name val="Times New Roman"/>
    </font>
    <font>
      <b/>
      <sz val="11"/>
      <name val="Times New Roman"/>
    </font>
    <font>
      <sz val="11"/>
      <name val="Times New Roman"/>
    </font>
    <font>
      <sz val="11"/>
      <color rgb="FF0000FF"/>
      <name val="Times New Roman"/>
    </font>
  </fonts>
  <fills count="3">
    <fill>
      <patternFill patternType="none"/>
    </fill>
    <fill>
      <patternFill patternType="gray125"/>
    </fill>
    <fill>
      <patternFill patternType="solid">
        <fgColor rgb="FFFFFF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4">
    <xf numFmtId="0" fontId="0" fillId="0" borderId="0" xfId="0"/>
    <xf numFmtId="0" fontId="1" fillId="0" borderId="0" xfId="0" applyFont="1"/>
    <xf numFmtId="0" fontId="2" fillId="0" borderId="0" xfId="0" applyFont="1"/>
    <xf numFmtId="0" fontId="3" fillId="0" borderId="0" xfId="0" applyFont="1" applyAlignment="1">
      <alignment vertical="top" wrapText="1"/>
    </xf>
    <xf numFmtId="0" fontId="3" fillId="0" borderId="0" xfId="0" applyFont="1"/>
    <xf numFmtId="0" fontId="4" fillId="2" borderId="0" xfId="0" applyFont="1" applyFill="1" applyAlignment="1">
      <alignment horizontal="left"/>
    </xf>
    <xf numFmtId="0" fontId="3" fillId="0" borderId="0" xfId="0" applyFont="1" applyAlignment="1">
      <alignment horizontal="left"/>
    </xf>
    <xf numFmtId="2" fontId="3" fillId="0" borderId="0" xfId="0" applyNumberFormat="1" applyFont="1" applyAlignment="1">
      <alignment horizontal="left"/>
    </xf>
    <xf numFmtId="0" fontId="2" fillId="0" borderId="1" xfId="0" applyFont="1" applyBorder="1" applyAlignment="1">
      <alignment horizontal="center" vertical="top" wrapText="1"/>
    </xf>
    <xf numFmtId="0" fontId="3" fillId="0" borderId="1" xfId="0" applyFont="1" applyBorder="1" applyAlignment="1">
      <alignment horizontal="center" vertical="top" wrapText="1"/>
    </xf>
    <xf numFmtId="0" fontId="3" fillId="0" borderId="1" xfId="0" applyFont="1" applyBorder="1" applyAlignment="1">
      <alignment vertical="top" wrapText="1"/>
    </xf>
    <xf numFmtId="0" fontId="4" fillId="2" borderId="1" xfId="0" applyFont="1" applyFill="1" applyBorder="1" applyAlignment="1">
      <alignment horizontal="center" vertical="top" wrapText="1"/>
    </xf>
    <xf numFmtId="2" fontId="3" fillId="0" borderId="1" xfId="0" applyNumberFormat="1" applyFont="1" applyBorder="1" applyAlignment="1">
      <alignment horizontal="center" vertical="top" wrapText="1"/>
    </xf>
    <xf numFmtId="9" fontId="3" fillId="0" borderId="1" xfId="0" applyNumberFormat="1" applyFont="1" applyBorder="1" applyAlignment="1">
      <alignment horizontal="center" vertical="top" wrapText="1"/>
    </xf>
  </cellXfs>
  <cellStyles count="1">
    <cellStyle name="Normal" xfId="0" builtinId="0"/>
  </cellStyles>
  <dxfs count="2">
    <dxf>
      <font>
        <b/>
        <color rgb="FFC00000"/>
        <name val="Times New Roman"/>
      </font>
    </dxf>
    <dxf>
      <font>
        <b/>
        <color rgb="FFC00000"/>
        <name val="Times New Roman"/>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8"/>
  <sheetViews>
    <sheetView tabSelected="1" workbookViewId="0"/>
  </sheetViews>
  <sheetFormatPr defaultRowHeight="15" x14ac:dyDescent="0.25"/>
  <cols>
    <col min="1" max="1" width="30" customWidth="1"/>
    <col min="2" max="2" width="95" customWidth="1"/>
  </cols>
  <sheetData>
    <row r="1" spans="1:2" ht="18.75" x14ac:dyDescent="0.3">
      <c r="A1" s="1" t="s">
        <v>0</v>
      </c>
    </row>
    <row r="2" spans="1:2" ht="30" x14ac:dyDescent="0.25">
      <c r="A2" s="2" t="s">
        <v>1</v>
      </c>
      <c r="B2" s="3" t="s">
        <v>2</v>
      </c>
    </row>
    <row r="3" spans="1:2" ht="30" x14ac:dyDescent="0.25">
      <c r="A3" s="2" t="s">
        <v>3</v>
      </c>
      <c r="B3" s="3" t="s">
        <v>4</v>
      </c>
    </row>
    <row r="4" spans="1:2" ht="30" x14ac:dyDescent="0.25">
      <c r="A4" s="2" t="s">
        <v>5</v>
      </c>
      <c r="B4" s="3" t="s">
        <v>6</v>
      </c>
    </row>
    <row r="5" spans="1:2" x14ac:dyDescent="0.25">
      <c r="A5" s="2" t="s">
        <v>7</v>
      </c>
      <c r="B5" s="3" t="s">
        <v>8</v>
      </c>
    </row>
    <row r="6" spans="1:2" ht="30" x14ac:dyDescent="0.25">
      <c r="A6" s="2" t="s">
        <v>9</v>
      </c>
      <c r="B6" s="3" t="s">
        <v>10</v>
      </c>
    </row>
    <row r="7" spans="1:2" x14ac:dyDescent="0.25">
      <c r="A7" s="2" t="s">
        <v>11</v>
      </c>
      <c r="B7" s="3" t="s">
        <v>12</v>
      </c>
    </row>
    <row r="8" spans="1:2" x14ac:dyDescent="0.25">
      <c r="A8" s="2" t="s">
        <v>13</v>
      </c>
      <c r="B8" s="3" t="s">
        <v>14</v>
      </c>
    </row>
    <row r="9" spans="1:2" ht="30" x14ac:dyDescent="0.25">
      <c r="A9" s="2" t="s">
        <v>15</v>
      </c>
      <c r="B9" s="3" t="s">
        <v>16</v>
      </c>
    </row>
    <row r="10" spans="1:2" x14ac:dyDescent="0.25">
      <c r="A10" s="2" t="s">
        <v>17</v>
      </c>
      <c r="B10" s="3" t="s">
        <v>18</v>
      </c>
    </row>
    <row r="11" spans="1:2" x14ac:dyDescent="0.25">
      <c r="A11" s="2"/>
      <c r="B11" s="3"/>
    </row>
    <row r="12" spans="1:2" x14ac:dyDescent="0.25">
      <c r="A12" s="2" t="s">
        <v>19</v>
      </c>
      <c r="B12" s="3" t="s">
        <v>20</v>
      </c>
    </row>
    <row r="13" spans="1:2" ht="30" x14ac:dyDescent="0.25">
      <c r="A13" s="2"/>
      <c r="B13" s="3" t="s">
        <v>21</v>
      </c>
    </row>
    <row r="14" spans="1:2" ht="30" x14ac:dyDescent="0.25">
      <c r="A14" s="2"/>
      <c r="B14" s="3" t="s">
        <v>22</v>
      </c>
    </row>
    <row r="16" spans="1:2" x14ac:dyDescent="0.25">
      <c r="A16" s="2" t="s">
        <v>23</v>
      </c>
      <c r="B16" s="4" t="s">
        <v>24</v>
      </c>
    </row>
    <row r="17" spans="1:2" x14ac:dyDescent="0.25">
      <c r="A17" s="4" t="s">
        <v>25</v>
      </c>
      <c r="B17" s="5">
        <v>4</v>
      </c>
    </row>
    <row r="18" spans="1:2" x14ac:dyDescent="0.25">
      <c r="A18" s="4" t="s">
        <v>26</v>
      </c>
      <c r="B18" s="5">
        <v>3</v>
      </c>
    </row>
    <row r="19" spans="1:2" x14ac:dyDescent="0.25">
      <c r="A19" s="4" t="s">
        <v>27</v>
      </c>
      <c r="B19" s="5">
        <v>4</v>
      </c>
    </row>
    <row r="20" spans="1:2" x14ac:dyDescent="0.25">
      <c r="A20" s="4" t="s">
        <v>28</v>
      </c>
      <c r="B20" s="5">
        <v>2</v>
      </c>
    </row>
    <row r="21" spans="1:2" x14ac:dyDescent="0.25">
      <c r="A21" s="4" t="s">
        <v>29</v>
      </c>
      <c r="B21" s="5">
        <v>4</v>
      </c>
    </row>
    <row r="22" spans="1:2" x14ac:dyDescent="0.25">
      <c r="A22" s="2" t="s">
        <v>30</v>
      </c>
      <c r="B22" s="6">
        <f>COUNT(B17:B21)</f>
        <v>5</v>
      </c>
    </row>
    <row r="23" spans="1:2" x14ac:dyDescent="0.25">
      <c r="A23" s="2" t="s">
        <v>31</v>
      </c>
      <c r="B23" s="6">
        <f>COUNTIF(B17:B21,"&gt;=3")</f>
        <v>4</v>
      </c>
    </row>
    <row r="24" spans="1:2" x14ac:dyDescent="0.25">
      <c r="A24" s="2" t="s">
        <v>7</v>
      </c>
      <c r="B24" s="7">
        <f>B23/B22</f>
        <v>0.8</v>
      </c>
    </row>
    <row r="25" spans="1:2" x14ac:dyDescent="0.25">
      <c r="A25" s="2" t="s">
        <v>32</v>
      </c>
      <c r="B25" s="7">
        <f>COMBIN(B22,B23)*0.5^B22</f>
        <v>0.15625</v>
      </c>
    </row>
    <row r="26" spans="1:2" x14ac:dyDescent="0.25">
      <c r="A26" s="2" t="s">
        <v>33</v>
      </c>
      <c r="B26" s="7">
        <f>(B24-B25)/(1-B25)</f>
        <v>0.76296296296296306</v>
      </c>
    </row>
    <row r="27" spans="1:2" x14ac:dyDescent="0.25">
      <c r="A27" s="2" t="s">
        <v>34</v>
      </c>
      <c r="B27" s="6" t="str">
        <f>IF(B24&gt;=IF(B22&lt;6,1,0.78),"Keep","Revise")</f>
        <v>Revise</v>
      </c>
    </row>
    <row r="28" spans="1:2" x14ac:dyDescent="0.25">
      <c r="B28" s="4" t="s">
        <v>35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33"/>
  <sheetViews>
    <sheetView workbookViewId="0">
      <pane xSplit="4" ySplit="5" topLeftCell="E6" activePane="bottomRight" state="frozen"/>
      <selection pane="topRight"/>
      <selection pane="bottomLeft"/>
      <selection pane="bottomRight"/>
    </sheetView>
  </sheetViews>
  <sheetFormatPr defaultRowHeight="15" x14ac:dyDescent="0.25"/>
  <cols>
    <col min="1" max="1" width="6" customWidth="1"/>
    <col min="2" max="2" width="18" customWidth="1"/>
    <col min="3" max="3" width="16" customWidth="1"/>
    <col min="4" max="4" width="48" customWidth="1"/>
    <col min="5" max="14" width="9" customWidth="1"/>
    <col min="15" max="16" width="10" customWidth="1"/>
    <col min="17" max="18" width="9" customWidth="1"/>
    <col min="19" max="19" width="11" customWidth="1"/>
    <col min="20" max="20" width="10" customWidth="1"/>
    <col min="21" max="22" width="11" customWidth="1"/>
  </cols>
  <sheetData>
    <row r="1" spans="1:22" ht="18.75" x14ac:dyDescent="0.3">
      <c r="A1" s="1" t="s">
        <v>36</v>
      </c>
    </row>
    <row r="2" spans="1:22" x14ac:dyDescent="0.25">
      <c r="A2" s="4" t="s">
        <v>37</v>
      </c>
    </row>
    <row r="3" spans="1:22" x14ac:dyDescent="0.25">
      <c r="A3" s="4" t="s">
        <v>38</v>
      </c>
    </row>
    <row r="5" spans="1:22" ht="28.5" x14ac:dyDescent="0.25">
      <c r="A5" s="8" t="s">
        <v>39</v>
      </c>
      <c r="B5" s="8" t="s">
        <v>40</v>
      </c>
      <c r="C5" s="8" t="s">
        <v>41</v>
      </c>
      <c r="D5" s="8" t="s">
        <v>42</v>
      </c>
      <c r="E5" s="8" t="s">
        <v>25</v>
      </c>
      <c r="F5" s="8" t="s">
        <v>26</v>
      </c>
      <c r="G5" s="8" t="s">
        <v>27</v>
      </c>
      <c r="H5" s="8" t="s">
        <v>28</v>
      </c>
      <c r="I5" s="8" t="s">
        <v>29</v>
      </c>
      <c r="J5" s="8" t="s">
        <v>43</v>
      </c>
      <c r="K5" s="8" t="s">
        <v>44</v>
      </c>
      <c r="L5" s="8" t="s">
        <v>45</v>
      </c>
      <c r="M5" s="8" t="s">
        <v>46</v>
      </c>
      <c r="N5" s="8" t="s">
        <v>47</v>
      </c>
      <c r="O5" s="8" t="s">
        <v>48</v>
      </c>
      <c r="P5" s="8" t="s">
        <v>49</v>
      </c>
      <c r="Q5" s="8" t="s">
        <v>7</v>
      </c>
      <c r="R5" s="8" t="s">
        <v>32</v>
      </c>
      <c r="S5" s="8" t="s">
        <v>9</v>
      </c>
      <c r="T5" s="8" t="s">
        <v>50</v>
      </c>
      <c r="U5" s="8" t="s">
        <v>34</v>
      </c>
      <c r="V5" s="8" t="s">
        <v>51</v>
      </c>
    </row>
    <row r="6" spans="1:22" x14ac:dyDescent="0.25">
      <c r="A6" s="9" t="s">
        <v>52</v>
      </c>
      <c r="B6" s="10" t="s">
        <v>53</v>
      </c>
      <c r="C6" s="10" t="s">
        <v>54</v>
      </c>
      <c r="D6" s="10" t="s">
        <v>55</v>
      </c>
      <c r="E6" s="11"/>
      <c r="F6" s="11"/>
      <c r="G6" s="11"/>
      <c r="H6" s="11"/>
      <c r="I6" s="11"/>
      <c r="J6" s="11"/>
      <c r="K6" s="11"/>
      <c r="L6" s="11"/>
      <c r="M6" s="11"/>
      <c r="N6" s="11"/>
      <c r="O6" s="9">
        <f t="shared" ref="O6:O27" si="0">COUNT(E6:N6)</f>
        <v>0</v>
      </c>
      <c r="P6" s="9">
        <f t="shared" ref="P6:P27" si="1">COUNTIF(E6:N6,"&gt;=3")</f>
        <v>0</v>
      </c>
      <c r="Q6" s="12" t="str">
        <f t="shared" ref="Q6:Q27" si="2">IF(O6=0,"",P6/O6)</f>
        <v/>
      </c>
      <c r="R6" s="12" t="str">
        <f t="shared" ref="R6:R27" si="3">IF(O6=0,"",COMBIN(O6,P6)*0.5^O6)</f>
        <v/>
      </c>
      <c r="S6" s="12" t="str">
        <f t="shared" ref="S6:S27" si="4">IF(O6=0,"",(Q6-R6)/(1-R6))</f>
        <v/>
      </c>
      <c r="T6" s="12" t="str">
        <f t="shared" ref="T6:T27" si="5">IF(O6=0,"",IF(O6&lt;6,1,0.78))</f>
        <v/>
      </c>
      <c r="U6" s="9" t="str">
        <f t="shared" ref="U6:U27" si="6">IF(O6=0,"",IF(O6&lt;3,"Need 3+ experts",IF(Q6&gt;=T6,"Keep","Revise")))</f>
        <v/>
      </c>
      <c r="V6" s="9" t="str">
        <f t="shared" ref="V6:V27" si="7">IF(O6=0,"",IF(S6&gt;0.74,"Excellent",IF(S6&gt;=0.6,"Good",IF(S6&gt;=0.4,"Fair","Poor"))))</f>
        <v/>
      </c>
    </row>
    <row r="7" spans="1:22" ht="30" x14ac:dyDescent="0.25">
      <c r="A7" s="9" t="s">
        <v>56</v>
      </c>
      <c r="B7" s="10" t="s">
        <v>53</v>
      </c>
      <c r="C7" s="10" t="s">
        <v>54</v>
      </c>
      <c r="D7" s="10" t="s">
        <v>57</v>
      </c>
      <c r="E7" s="11"/>
      <c r="F7" s="11"/>
      <c r="G7" s="11"/>
      <c r="H7" s="11"/>
      <c r="I7" s="11"/>
      <c r="J7" s="11"/>
      <c r="K7" s="11"/>
      <c r="L7" s="11"/>
      <c r="M7" s="11"/>
      <c r="N7" s="11"/>
      <c r="O7" s="9">
        <f t="shared" si="0"/>
        <v>0</v>
      </c>
      <c r="P7" s="9">
        <f t="shared" si="1"/>
        <v>0</v>
      </c>
      <c r="Q7" s="12" t="str">
        <f t="shared" si="2"/>
        <v/>
      </c>
      <c r="R7" s="12" t="str">
        <f t="shared" si="3"/>
        <v/>
      </c>
      <c r="S7" s="12" t="str">
        <f t="shared" si="4"/>
        <v/>
      </c>
      <c r="T7" s="12" t="str">
        <f t="shared" si="5"/>
        <v/>
      </c>
      <c r="U7" s="9" t="str">
        <f t="shared" si="6"/>
        <v/>
      </c>
      <c r="V7" s="9" t="str">
        <f t="shared" si="7"/>
        <v/>
      </c>
    </row>
    <row r="8" spans="1:22" ht="30" x14ac:dyDescent="0.25">
      <c r="A8" s="9" t="s">
        <v>58</v>
      </c>
      <c r="B8" s="10" t="s">
        <v>53</v>
      </c>
      <c r="C8" s="10" t="s">
        <v>54</v>
      </c>
      <c r="D8" s="10" t="s">
        <v>59</v>
      </c>
      <c r="E8" s="11"/>
      <c r="F8" s="11"/>
      <c r="G8" s="11"/>
      <c r="H8" s="11"/>
      <c r="I8" s="11"/>
      <c r="J8" s="11"/>
      <c r="K8" s="11"/>
      <c r="L8" s="11"/>
      <c r="M8" s="11"/>
      <c r="N8" s="11"/>
      <c r="O8" s="9">
        <f t="shared" si="0"/>
        <v>0</v>
      </c>
      <c r="P8" s="9">
        <f t="shared" si="1"/>
        <v>0</v>
      </c>
      <c r="Q8" s="12" t="str">
        <f t="shared" si="2"/>
        <v/>
      </c>
      <c r="R8" s="12" t="str">
        <f t="shared" si="3"/>
        <v/>
      </c>
      <c r="S8" s="12" t="str">
        <f t="shared" si="4"/>
        <v/>
      </c>
      <c r="T8" s="12" t="str">
        <f t="shared" si="5"/>
        <v/>
      </c>
      <c r="U8" s="9" t="str">
        <f t="shared" si="6"/>
        <v/>
      </c>
      <c r="V8" s="9" t="str">
        <f t="shared" si="7"/>
        <v/>
      </c>
    </row>
    <row r="9" spans="1:22" x14ac:dyDescent="0.25">
      <c r="A9" s="9" t="s">
        <v>60</v>
      </c>
      <c r="B9" s="10" t="s">
        <v>53</v>
      </c>
      <c r="C9" s="10" t="s">
        <v>54</v>
      </c>
      <c r="D9" s="10" t="s">
        <v>61</v>
      </c>
      <c r="E9" s="11"/>
      <c r="F9" s="11"/>
      <c r="G9" s="11"/>
      <c r="H9" s="11"/>
      <c r="I9" s="11"/>
      <c r="J9" s="11"/>
      <c r="K9" s="11"/>
      <c r="L9" s="11"/>
      <c r="M9" s="11"/>
      <c r="N9" s="11"/>
      <c r="O9" s="9">
        <f t="shared" si="0"/>
        <v>0</v>
      </c>
      <c r="P9" s="9">
        <f t="shared" si="1"/>
        <v>0</v>
      </c>
      <c r="Q9" s="12" t="str">
        <f t="shared" si="2"/>
        <v/>
      </c>
      <c r="R9" s="12" t="str">
        <f t="shared" si="3"/>
        <v/>
      </c>
      <c r="S9" s="12" t="str">
        <f t="shared" si="4"/>
        <v/>
      </c>
      <c r="T9" s="12" t="str">
        <f t="shared" si="5"/>
        <v/>
      </c>
      <c r="U9" s="9" t="str">
        <f t="shared" si="6"/>
        <v/>
      </c>
      <c r="V9" s="9" t="str">
        <f t="shared" si="7"/>
        <v/>
      </c>
    </row>
    <row r="10" spans="1:22" ht="30" x14ac:dyDescent="0.25">
      <c r="A10" s="9" t="s">
        <v>62</v>
      </c>
      <c r="B10" s="10" t="s">
        <v>53</v>
      </c>
      <c r="C10" s="10" t="s">
        <v>63</v>
      </c>
      <c r="D10" s="10" t="s">
        <v>64</v>
      </c>
      <c r="E10" s="11"/>
      <c r="F10" s="11"/>
      <c r="G10" s="11"/>
      <c r="H10" s="11"/>
      <c r="I10" s="11"/>
      <c r="J10" s="11"/>
      <c r="K10" s="11"/>
      <c r="L10" s="11"/>
      <c r="M10" s="11"/>
      <c r="N10" s="11"/>
      <c r="O10" s="9">
        <f t="shared" si="0"/>
        <v>0</v>
      </c>
      <c r="P10" s="9">
        <f t="shared" si="1"/>
        <v>0</v>
      </c>
      <c r="Q10" s="12" t="str">
        <f t="shared" si="2"/>
        <v/>
      </c>
      <c r="R10" s="12" t="str">
        <f t="shared" si="3"/>
        <v/>
      </c>
      <c r="S10" s="12" t="str">
        <f t="shared" si="4"/>
        <v/>
      </c>
      <c r="T10" s="12" t="str">
        <f t="shared" si="5"/>
        <v/>
      </c>
      <c r="U10" s="9" t="str">
        <f t="shared" si="6"/>
        <v/>
      </c>
      <c r="V10" s="9" t="str">
        <f t="shared" si="7"/>
        <v/>
      </c>
    </row>
    <row r="11" spans="1:22" ht="30" x14ac:dyDescent="0.25">
      <c r="A11" s="9" t="s">
        <v>65</v>
      </c>
      <c r="B11" s="10" t="s">
        <v>53</v>
      </c>
      <c r="C11" s="10" t="s">
        <v>63</v>
      </c>
      <c r="D11" s="10" t="s">
        <v>66</v>
      </c>
      <c r="E11" s="11"/>
      <c r="F11" s="11"/>
      <c r="G11" s="11"/>
      <c r="H11" s="11"/>
      <c r="I11" s="11"/>
      <c r="J11" s="11"/>
      <c r="K11" s="11"/>
      <c r="L11" s="11"/>
      <c r="M11" s="11"/>
      <c r="N11" s="11"/>
      <c r="O11" s="9">
        <f t="shared" si="0"/>
        <v>0</v>
      </c>
      <c r="P11" s="9">
        <f t="shared" si="1"/>
        <v>0</v>
      </c>
      <c r="Q11" s="12" t="str">
        <f t="shared" si="2"/>
        <v/>
      </c>
      <c r="R11" s="12" t="str">
        <f t="shared" si="3"/>
        <v/>
      </c>
      <c r="S11" s="12" t="str">
        <f t="shared" si="4"/>
        <v/>
      </c>
      <c r="T11" s="12" t="str">
        <f t="shared" si="5"/>
        <v/>
      </c>
      <c r="U11" s="9" t="str">
        <f t="shared" si="6"/>
        <v/>
      </c>
      <c r="V11" s="9" t="str">
        <f t="shared" si="7"/>
        <v/>
      </c>
    </row>
    <row r="12" spans="1:22" ht="30" x14ac:dyDescent="0.25">
      <c r="A12" s="9" t="s">
        <v>67</v>
      </c>
      <c r="B12" s="10" t="s">
        <v>53</v>
      </c>
      <c r="C12" s="10" t="s">
        <v>63</v>
      </c>
      <c r="D12" s="10" t="s">
        <v>68</v>
      </c>
      <c r="E12" s="11"/>
      <c r="F12" s="11"/>
      <c r="G12" s="11"/>
      <c r="H12" s="11"/>
      <c r="I12" s="11"/>
      <c r="J12" s="11"/>
      <c r="K12" s="11"/>
      <c r="L12" s="11"/>
      <c r="M12" s="11"/>
      <c r="N12" s="11"/>
      <c r="O12" s="9">
        <f t="shared" si="0"/>
        <v>0</v>
      </c>
      <c r="P12" s="9">
        <f t="shared" si="1"/>
        <v>0</v>
      </c>
      <c r="Q12" s="12" t="str">
        <f t="shared" si="2"/>
        <v/>
      </c>
      <c r="R12" s="12" t="str">
        <f t="shared" si="3"/>
        <v/>
      </c>
      <c r="S12" s="12" t="str">
        <f t="shared" si="4"/>
        <v/>
      </c>
      <c r="T12" s="12" t="str">
        <f t="shared" si="5"/>
        <v/>
      </c>
      <c r="U12" s="9" t="str">
        <f t="shared" si="6"/>
        <v/>
      </c>
      <c r="V12" s="9" t="str">
        <f t="shared" si="7"/>
        <v/>
      </c>
    </row>
    <row r="13" spans="1:22" ht="30" x14ac:dyDescent="0.25">
      <c r="A13" s="9" t="s">
        <v>69</v>
      </c>
      <c r="B13" s="10" t="s">
        <v>53</v>
      </c>
      <c r="C13" s="10" t="s">
        <v>63</v>
      </c>
      <c r="D13" s="10" t="s">
        <v>70</v>
      </c>
      <c r="E13" s="11"/>
      <c r="F13" s="11"/>
      <c r="G13" s="11"/>
      <c r="H13" s="11"/>
      <c r="I13" s="11"/>
      <c r="J13" s="11"/>
      <c r="K13" s="11"/>
      <c r="L13" s="11"/>
      <c r="M13" s="11"/>
      <c r="N13" s="11"/>
      <c r="O13" s="9">
        <f t="shared" si="0"/>
        <v>0</v>
      </c>
      <c r="P13" s="9">
        <f t="shared" si="1"/>
        <v>0</v>
      </c>
      <c r="Q13" s="12" t="str">
        <f t="shared" si="2"/>
        <v/>
      </c>
      <c r="R13" s="12" t="str">
        <f t="shared" si="3"/>
        <v/>
      </c>
      <c r="S13" s="12" t="str">
        <f t="shared" si="4"/>
        <v/>
      </c>
      <c r="T13" s="12" t="str">
        <f t="shared" si="5"/>
        <v/>
      </c>
      <c r="U13" s="9" t="str">
        <f t="shared" si="6"/>
        <v/>
      </c>
      <c r="V13" s="9" t="str">
        <f t="shared" si="7"/>
        <v/>
      </c>
    </row>
    <row r="14" spans="1:22" ht="30" x14ac:dyDescent="0.25">
      <c r="A14" s="9" t="s">
        <v>71</v>
      </c>
      <c r="B14" s="10" t="s">
        <v>53</v>
      </c>
      <c r="C14" s="10" t="s">
        <v>72</v>
      </c>
      <c r="D14" s="10" t="s">
        <v>73</v>
      </c>
      <c r="E14" s="11"/>
      <c r="F14" s="11"/>
      <c r="G14" s="11"/>
      <c r="H14" s="11"/>
      <c r="I14" s="11"/>
      <c r="J14" s="11"/>
      <c r="K14" s="11"/>
      <c r="L14" s="11"/>
      <c r="M14" s="11"/>
      <c r="N14" s="11"/>
      <c r="O14" s="9">
        <f t="shared" si="0"/>
        <v>0</v>
      </c>
      <c r="P14" s="9">
        <f t="shared" si="1"/>
        <v>0</v>
      </c>
      <c r="Q14" s="12" t="str">
        <f t="shared" si="2"/>
        <v/>
      </c>
      <c r="R14" s="12" t="str">
        <f t="shared" si="3"/>
        <v/>
      </c>
      <c r="S14" s="12" t="str">
        <f t="shared" si="4"/>
        <v/>
      </c>
      <c r="T14" s="12" t="str">
        <f t="shared" si="5"/>
        <v/>
      </c>
      <c r="U14" s="9" t="str">
        <f t="shared" si="6"/>
        <v/>
      </c>
      <c r="V14" s="9" t="str">
        <f t="shared" si="7"/>
        <v/>
      </c>
    </row>
    <row r="15" spans="1:22" x14ac:dyDescent="0.25">
      <c r="A15" s="9" t="s">
        <v>74</v>
      </c>
      <c r="B15" s="10" t="s">
        <v>53</v>
      </c>
      <c r="C15" s="10" t="s">
        <v>72</v>
      </c>
      <c r="D15" s="10" t="s">
        <v>75</v>
      </c>
      <c r="E15" s="11"/>
      <c r="F15" s="11"/>
      <c r="G15" s="11"/>
      <c r="H15" s="11"/>
      <c r="I15" s="11"/>
      <c r="J15" s="11"/>
      <c r="K15" s="11"/>
      <c r="L15" s="11"/>
      <c r="M15" s="11"/>
      <c r="N15" s="11"/>
      <c r="O15" s="9">
        <f t="shared" si="0"/>
        <v>0</v>
      </c>
      <c r="P15" s="9">
        <f t="shared" si="1"/>
        <v>0</v>
      </c>
      <c r="Q15" s="12" t="str">
        <f t="shared" si="2"/>
        <v/>
      </c>
      <c r="R15" s="12" t="str">
        <f t="shared" si="3"/>
        <v/>
      </c>
      <c r="S15" s="12" t="str">
        <f t="shared" si="4"/>
        <v/>
      </c>
      <c r="T15" s="12" t="str">
        <f t="shared" si="5"/>
        <v/>
      </c>
      <c r="U15" s="9" t="str">
        <f t="shared" si="6"/>
        <v/>
      </c>
      <c r="V15" s="9" t="str">
        <f t="shared" si="7"/>
        <v/>
      </c>
    </row>
    <row r="16" spans="1:22" ht="30" x14ac:dyDescent="0.25">
      <c r="A16" s="9" t="s">
        <v>76</v>
      </c>
      <c r="B16" s="10" t="s">
        <v>53</v>
      </c>
      <c r="C16" s="10" t="s">
        <v>72</v>
      </c>
      <c r="D16" s="10" t="s">
        <v>77</v>
      </c>
      <c r="E16" s="11"/>
      <c r="F16" s="11"/>
      <c r="G16" s="11"/>
      <c r="H16" s="11"/>
      <c r="I16" s="11"/>
      <c r="J16" s="11"/>
      <c r="K16" s="11"/>
      <c r="L16" s="11"/>
      <c r="M16" s="11"/>
      <c r="N16" s="11"/>
      <c r="O16" s="9">
        <f t="shared" si="0"/>
        <v>0</v>
      </c>
      <c r="P16" s="9">
        <f t="shared" si="1"/>
        <v>0</v>
      </c>
      <c r="Q16" s="12" t="str">
        <f t="shared" si="2"/>
        <v/>
      </c>
      <c r="R16" s="12" t="str">
        <f t="shared" si="3"/>
        <v/>
      </c>
      <c r="S16" s="12" t="str">
        <f t="shared" si="4"/>
        <v/>
      </c>
      <c r="T16" s="12" t="str">
        <f t="shared" si="5"/>
        <v/>
      </c>
      <c r="U16" s="9" t="str">
        <f t="shared" si="6"/>
        <v/>
      </c>
      <c r="V16" s="9" t="str">
        <f t="shared" si="7"/>
        <v/>
      </c>
    </row>
    <row r="17" spans="1:22" ht="30" x14ac:dyDescent="0.25">
      <c r="A17" s="9" t="s">
        <v>78</v>
      </c>
      <c r="B17" s="10" t="s">
        <v>53</v>
      </c>
      <c r="C17" s="10" t="s">
        <v>72</v>
      </c>
      <c r="D17" s="10" t="s">
        <v>79</v>
      </c>
      <c r="E17" s="11"/>
      <c r="F17" s="11"/>
      <c r="G17" s="11"/>
      <c r="H17" s="11"/>
      <c r="I17" s="11"/>
      <c r="J17" s="11"/>
      <c r="K17" s="11"/>
      <c r="L17" s="11"/>
      <c r="M17" s="11"/>
      <c r="N17" s="11"/>
      <c r="O17" s="9">
        <f t="shared" si="0"/>
        <v>0</v>
      </c>
      <c r="P17" s="9">
        <f t="shared" si="1"/>
        <v>0</v>
      </c>
      <c r="Q17" s="12" t="str">
        <f t="shared" si="2"/>
        <v/>
      </c>
      <c r="R17" s="12" t="str">
        <f t="shared" si="3"/>
        <v/>
      </c>
      <c r="S17" s="12" t="str">
        <f t="shared" si="4"/>
        <v/>
      </c>
      <c r="T17" s="12" t="str">
        <f t="shared" si="5"/>
        <v/>
      </c>
      <c r="U17" s="9" t="str">
        <f t="shared" si="6"/>
        <v/>
      </c>
      <c r="V17" s="9" t="str">
        <f t="shared" si="7"/>
        <v/>
      </c>
    </row>
    <row r="18" spans="1:22" ht="30" x14ac:dyDescent="0.25">
      <c r="A18" s="9" t="s">
        <v>80</v>
      </c>
      <c r="B18" s="10" t="s">
        <v>53</v>
      </c>
      <c r="C18" s="10" t="s">
        <v>81</v>
      </c>
      <c r="D18" s="10" t="s">
        <v>82</v>
      </c>
      <c r="E18" s="11"/>
      <c r="F18" s="11"/>
      <c r="G18" s="11"/>
      <c r="H18" s="11"/>
      <c r="I18" s="11"/>
      <c r="J18" s="11"/>
      <c r="K18" s="11"/>
      <c r="L18" s="11"/>
      <c r="M18" s="11"/>
      <c r="N18" s="11"/>
      <c r="O18" s="9">
        <f t="shared" si="0"/>
        <v>0</v>
      </c>
      <c r="P18" s="9">
        <f t="shared" si="1"/>
        <v>0</v>
      </c>
      <c r="Q18" s="12" t="str">
        <f t="shared" si="2"/>
        <v/>
      </c>
      <c r="R18" s="12" t="str">
        <f t="shared" si="3"/>
        <v/>
      </c>
      <c r="S18" s="12" t="str">
        <f t="shared" si="4"/>
        <v/>
      </c>
      <c r="T18" s="12" t="str">
        <f t="shared" si="5"/>
        <v/>
      </c>
      <c r="U18" s="9" t="str">
        <f t="shared" si="6"/>
        <v/>
      </c>
      <c r="V18" s="9" t="str">
        <f t="shared" si="7"/>
        <v/>
      </c>
    </row>
    <row r="19" spans="1:22" ht="30" x14ac:dyDescent="0.25">
      <c r="A19" s="9" t="s">
        <v>83</v>
      </c>
      <c r="B19" s="10" t="s">
        <v>53</v>
      </c>
      <c r="C19" s="10" t="s">
        <v>81</v>
      </c>
      <c r="D19" s="10" t="s">
        <v>84</v>
      </c>
      <c r="E19" s="11"/>
      <c r="F19" s="11"/>
      <c r="G19" s="11"/>
      <c r="H19" s="11"/>
      <c r="I19" s="11"/>
      <c r="J19" s="11"/>
      <c r="K19" s="11"/>
      <c r="L19" s="11"/>
      <c r="M19" s="11"/>
      <c r="N19" s="11"/>
      <c r="O19" s="9">
        <f t="shared" si="0"/>
        <v>0</v>
      </c>
      <c r="P19" s="9">
        <f t="shared" si="1"/>
        <v>0</v>
      </c>
      <c r="Q19" s="12" t="str">
        <f t="shared" si="2"/>
        <v/>
      </c>
      <c r="R19" s="12" t="str">
        <f t="shared" si="3"/>
        <v/>
      </c>
      <c r="S19" s="12" t="str">
        <f t="shared" si="4"/>
        <v/>
      </c>
      <c r="T19" s="12" t="str">
        <f t="shared" si="5"/>
        <v/>
      </c>
      <c r="U19" s="9" t="str">
        <f t="shared" si="6"/>
        <v/>
      </c>
      <c r="V19" s="9" t="str">
        <f t="shared" si="7"/>
        <v/>
      </c>
    </row>
    <row r="20" spans="1:22" ht="30" x14ac:dyDescent="0.25">
      <c r="A20" s="9" t="s">
        <v>85</v>
      </c>
      <c r="B20" s="10" t="s">
        <v>53</v>
      </c>
      <c r="C20" s="10" t="s">
        <v>81</v>
      </c>
      <c r="D20" s="10" t="s">
        <v>86</v>
      </c>
      <c r="E20" s="11"/>
      <c r="F20" s="11"/>
      <c r="G20" s="11"/>
      <c r="H20" s="11"/>
      <c r="I20" s="11"/>
      <c r="J20" s="11"/>
      <c r="K20" s="11"/>
      <c r="L20" s="11"/>
      <c r="M20" s="11"/>
      <c r="N20" s="11"/>
      <c r="O20" s="9">
        <f t="shared" si="0"/>
        <v>0</v>
      </c>
      <c r="P20" s="9">
        <f t="shared" si="1"/>
        <v>0</v>
      </c>
      <c r="Q20" s="12" t="str">
        <f t="shared" si="2"/>
        <v/>
      </c>
      <c r="R20" s="12" t="str">
        <f t="shared" si="3"/>
        <v/>
      </c>
      <c r="S20" s="12" t="str">
        <f t="shared" si="4"/>
        <v/>
      </c>
      <c r="T20" s="12" t="str">
        <f t="shared" si="5"/>
        <v/>
      </c>
      <c r="U20" s="9" t="str">
        <f t="shared" si="6"/>
        <v/>
      </c>
      <c r="V20" s="9" t="str">
        <f t="shared" si="7"/>
        <v/>
      </c>
    </row>
    <row r="21" spans="1:22" ht="30" x14ac:dyDescent="0.25">
      <c r="A21" s="9" t="s">
        <v>87</v>
      </c>
      <c r="B21" s="10" t="s">
        <v>53</v>
      </c>
      <c r="C21" s="10" t="s">
        <v>81</v>
      </c>
      <c r="D21" s="10" t="s">
        <v>88</v>
      </c>
      <c r="E21" s="11"/>
      <c r="F21" s="11"/>
      <c r="G21" s="11"/>
      <c r="H21" s="11"/>
      <c r="I21" s="11"/>
      <c r="J21" s="11"/>
      <c r="K21" s="11"/>
      <c r="L21" s="11"/>
      <c r="M21" s="11"/>
      <c r="N21" s="11"/>
      <c r="O21" s="9">
        <f t="shared" si="0"/>
        <v>0</v>
      </c>
      <c r="P21" s="9">
        <f t="shared" si="1"/>
        <v>0</v>
      </c>
      <c r="Q21" s="12" t="str">
        <f t="shared" si="2"/>
        <v/>
      </c>
      <c r="R21" s="12" t="str">
        <f t="shared" si="3"/>
        <v/>
      </c>
      <c r="S21" s="12" t="str">
        <f t="shared" si="4"/>
        <v/>
      </c>
      <c r="T21" s="12" t="str">
        <f t="shared" si="5"/>
        <v/>
      </c>
      <c r="U21" s="9" t="str">
        <f t="shared" si="6"/>
        <v/>
      </c>
      <c r="V21" s="9" t="str">
        <f t="shared" si="7"/>
        <v/>
      </c>
    </row>
    <row r="22" spans="1:22" ht="30" x14ac:dyDescent="0.25">
      <c r="A22" s="9" t="s">
        <v>89</v>
      </c>
      <c r="B22" s="10" t="s">
        <v>90</v>
      </c>
      <c r="C22" s="10" t="s">
        <v>91</v>
      </c>
      <c r="D22" s="10" t="s">
        <v>92</v>
      </c>
      <c r="E22" s="11"/>
      <c r="F22" s="11"/>
      <c r="G22" s="11"/>
      <c r="H22" s="11"/>
      <c r="I22" s="11"/>
      <c r="J22" s="11"/>
      <c r="K22" s="11"/>
      <c r="L22" s="11"/>
      <c r="M22" s="11"/>
      <c r="N22" s="11"/>
      <c r="O22" s="9">
        <f t="shared" si="0"/>
        <v>0</v>
      </c>
      <c r="P22" s="9">
        <f t="shared" si="1"/>
        <v>0</v>
      </c>
      <c r="Q22" s="12" t="str">
        <f t="shared" si="2"/>
        <v/>
      </c>
      <c r="R22" s="12" t="str">
        <f t="shared" si="3"/>
        <v/>
      </c>
      <c r="S22" s="12" t="str">
        <f t="shared" si="4"/>
        <v/>
      </c>
      <c r="T22" s="12" t="str">
        <f t="shared" si="5"/>
        <v/>
      </c>
      <c r="U22" s="9" t="str">
        <f t="shared" si="6"/>
        <v/>
      </c>
      <c r="V22" s="9" t="str">
        <f t="shared" si="7"/>
        <v/>
      </c>
    </row>
    <row r="23" spans="1:22" ht="30" x14ac:dyDescent="0.25">
      <c r="A23" s="9" t="s">
        <v>93</v>
      </c>
      <c r="B23" s="10" t="s">
        <v>90</v>
      </c>
      <c r="C23" s="10" t="s">
        <v>91</v>
      </c>
      <c r="D23" s="10" t="s">
        <v>94</v>
      </c>
      <c r="E23" s="11"/>
      <c r="F23" s="11"/>
      <c r="G23" s="11"/>
      <c r="H23" s="11"/>
      <c r="I23" s="11"/>
      <c r="J23" s="11"/>
      <c r="K23" s="11"/>
      <c r="L23" s="11"/>
      <c r="M23" s="11"/>
      <c r="N23" s="11"/>
      <c r="O23" s="9">
        <f t="shared" si="0"/>
        <v>0</v>
      </c>
      <c r="P23" s="9">
        <f t="shared" si="1"/>
        <v>0</v>
      </c>
      <c r="Q23" s="12" t="str">
        <f t="shared" si="2"/>
        <v/>
      </c>
      <c r="R23" s="12" t="str">
        <f t="shared" si="3"/>
        <v/>
      </c>
      <c r="S23" s="12" t="str">
        <f t="shared" si="4"/>
        <v/>
      </c>
      <c r="T23" s="12" t="str">
        <f t="shared" si="5"/>
        <v/>
      </c>
      <c r="U23" s="9" t="str">
        <f t="shared" si="6"/>
        <v/>
      </c>
      <c r="V23" s="9" t="str">
        <f t="shared" si="7"/>
        <v/>
      </c>
    </row>
    <row r="24" spans="1:22" ht="30" x14ac:dyDescent="0.25">
      <c r="A24" s="9" t="s">
        <v>95</v>
      </c>
      <c r="B24" s="10" t="s">
        <v>90</v>
      </c>
      <c r="C24" s="10" t="s">
        <v>91</v>
      </c>
      <c r="D24" s="10" t="s">
        <v>96</v>
      </c>
      <c r="E24" s="11"/>
      <c r="F24" s="11"/>
      <c r="G24" s="11"/>
      <c r="H24" s="11"/>
      <c r="I24" s="11"/>
      <c r="J24" s="11"/>
      <c r="K24" s="11"/>
      <c r="L24" s="11"/>
      <c r="M24" s="11"/>
      <c r="N24" s="11"/>
      <c r="O24" s="9">
        <f t="shared" si="0"/>
        <v>0</v>
      </c>
      <c r="P24" s="9">
        <f t="shared" si="1"/>
        <v>0</v>
      </c>
      <c r="Q24" s="12" t="str">
        <f t="shared" si="2"/>
        <v/>
      </c>
      <c r="R24" s="12" t="str">
        <f t="shared" si="3"/>
        <v/>
      </c>
      <c r="S24" s="12" t="str">
        <f t="shared" si="4"/>
        <v/>
      </c>
      <c r="T24" s="12" t="str">
        <f t="shared" si="5"/>
        <v/>
      </c>
      <c r="U24" s="9" t="str">
        <f t="shared" si="6"/>
        <v/>
      </c>
      <c r="V24" s="9" t="str">
        <f t="shared" si="7"/>
        <v/>
      </c>
    </row>
    <row r="25" spans="1:22" ht="30" x14ac:dyDescent="0.25">
      <c r="A25" s="9" t="s">
        <v>97</v>
      </c>
      <c r="B25" s="10" t="s">
        <v>90</v>
      </c>
      <c r="C25" s="10" t="s">
        <v>91</v>
      </c>
      <c r="D25" s="10" t="s">
        <v>98</v>
      </c>
      <c r="E25" s="11"/>
      <c r="F25" s="11"/>
      <c r="G25" s="11"/>
      <c r="H25" s="11"/>
      <c r="I25" s="11"/>
      <c r="J25" s="11"/>
      <c r="K25" s="11"/>
      <c r="L25" s="11"/>
      <c r="M25" s="11"/>
      <c r="N25" s="11"/>
      <c r="O25" s="9">
        <f t="shared" si="0"/>
        <v>0</v>
      </c>
      <c r="P25" s="9">
        <f t="shared" si="1"/>
        <v>0</v>
      </c>
      <c r="Q25" s="12" t="str">
        <f t="shared" si="2"/>
        <v/>
      </c>
      <c r="R25" s="12" t="str">
        <f t="shared" si="3"/>
        <v/>
      </c>
      <c r="S25" s="12" t="str">
        <f t="shared" si="4"/>
        <v/>
      </c>
      <c r="T25" s="12" t="str">
        <f t="shared" si="5"/>
        <v/>
      </c>
      <c r="U25" s="9" t="str">
        <f t="shared" si="6"/>
        <v/>
      </c>
      <c r="V25" s="9" t="str">
        <f t="shared" si="7"/>
        <v/>
      </c>
    </row>
    <row r="26" spans="1:22" ht="30" x14ac:dyDescent="0.25">
      <c r="A26" s="9" t="s">
        <v>99</v>
      </c>
      <c r="B26" s="10" t="s">
        <v>90</v>
      </c>
      <c r="C26" s="10" t="s">
        <v>100</v>
      </c>
      <c r="D26" s="10" t="s">
        <v>101</v>
      </c>
      <c r="E26" s="11"/>
      <c r="F26" s="11"/>
      <c r="G26" s="11"/>
      <c r="H26" s="11"/>
      <c r="I26" s="11"/>
      <c r="J26" s="11"/>
      <c r="K26" s="11"/>
      <c r="L26" s="11"/>
      <c r="M26" s="11"/>
      <c r="N26" s="11"/>
      <c r="O26" s="9">
        <f t="shared" si="0"/>
        <v>0</v>
      </c>
      <c r="P26" s="9">
        <f t="shared" si="1"/>
        <v>0</v>
      </c>
      <c r="Q26" s="12" t="str">
        <f t="shared" si="2"/>
        <v/>
      </c>
      <c r="R26" s="12" t="str">
        <f t="shared" si="3"/>
        <v/>
      </c>
      <c r="S26" s="12" t="str">
        <f t="shared" si="4"/>
        <v/>
      </c>
      <c r="T26" s="12" t="str">
        <f t="shared" si="5"/>
        <v/>
      </c>
      <c r="U26" s="9" t="str">
        <f t="shared" si="6"/>
        <v/>
      </c>
      <c r="V26" s="9" t="str">
        <f t="shared" si="7"/>
        <v/>
      </c>
    </row>
    <row r="27" spans="1:22" ht="30" x14ac:dyDescent="0.25">
      <c r="A27" s="9" t="s">
        <v>102</v>
      </c>
      <c r="B27" s="10" t="s">
        <v>90</v>
      </c>
      <c r="C27" s="10" t="s">
        <v>100</v>
      </c>
      <c r="D27" s="10" t="s">
        <v>103</v>
      </c>
      <c r="E27" s="11"/>
      <c r="F27" s="11"/>
      <c r="G27" s="11"/>
      <c r="H27" s="11"/>
      <c r="I27" s="11"/>
      <c r="J27" s="11"/>
      <c r="K27" s="11"/>
      <c r="L27" s="11"/>
      <c r="M27" s="11"/>
      <c r="N27" s="11"/>
      <c r="O27" s="9">
        <f t="shared" si="0"/>
        <v>0</v>
      </c>
      <c r="P27" s="9">
        <f t="shared" si="1"/>
        <v>0</v>
      </c>
      <c r="Q27" s="12" t="str">
        <f t="shared" si="2"/>
        <v/>
      </c>
      <c r="R27" s="12" t="str">
        <f t="shared" si="3"/>
        <v/>
      </c>
      <c r="S27" s="12" t="str">
        <f t="shared" si="4"/>
        <v/>
      </c>
      <c r="T27" s="12" t="str">
        <f t="shared" si="5"/>
        <v/>
      </c>
      <c r="U27" s="9" t="str">
        <f t="shared" si="6"/>
        <v/>
      </c>
      <c r="V27" s="9" t="str">
        <f t="shared" si="7"/>
        <v/>
      </c>
    </row>
    <row r="29" spans="1:22" x14ac:dyDescent="0.25">
      <c r="D29" s="2" t="s">
        <v>104</v>
      </c>
    </row>
    <row r="30" spans="1:22" ht="42.75" x14ac:dyDescent="0.25">
      <c r="D30" s="8" t="s">
        <v>40</v>
      </c>
      <c r="E30" s="8" t="s">
        <v>105</v>
      </c>
      <c r="F30" s="8" t="s">
        <v>11</v>
      </c>
      <c r="G30" s="8" t="s">
        <v>106</v>
      </c>
      <c r="H30" s="8" t="s">
        <v>107</v>
      </c>
    </row>
    <row r="31" spans="1:22" x14ac:dyDescent="0.25">
      <c r="D31" s="10" t="s">
        <v>53</v>
      </c>
      <c r="E31" s="9">
        <f>COUNT(Q6:Q21)</f>
        <v>0</v>
      </c>
      <c r="F31" s="12" t="str">
        <f>IF(COUNT(Q6:Q21)=0,"",AVERAGE(Q6:Q21))</f>
        <v/>
      </c>
      <c r="G31" s="12" t="str">
        <f>IF(COUNT(Q6:Q21)=0,"",COUNTIF(Q6:Q21,1)/COUNT(Q6:Q21))</f>
        <v/>
      </c>
      <c r="H31" s="9">
        <f>COUNTIF(U6:U21,"Revise")</f>
        <v>0</v>
      </c>
    </row>
    <row r="32" spans="1:22" x14ac:dyDescent="0.25">
      <c r="D32" s="10" t="s">
        <v>90</v>
      </c>
      <c r="E32" s="9">
        <f>COUNT(Q22:Q27)</f>
        <v>0</v>
      </c>
      <c r="F32" s="12" t="str">
        <f>IF(COUNT(Q22:Q27)=0,"",AVERAGE(Q22:Q27))</f>
        <v/>
      </c>
      <c r="G32" s="12" t="str">
        <f>IF(COUNT(Q22:Q27)=0,"",COUNTIF(Q22:Q27,1)/COUNT(Q22:Q27))</f>
        <v/>
      </c>
      <c r="H32" s="9">
        <f>COUNTIF(U22:U27,"Revise")</f>
        <v>0</v>
      </c>
    </row>
    <row r="33" spans="4:4" ht="45" x14ac:dyDescent="0.25">
      <c r="D33" s="3" t="s">
        <v>108</v>
      </c>
    </row>
  </sheetData>
  <conditionalFormatting sqref="U6:U27">
    <cfRule type="cellIs" dxfId="1" priority="1" operator="equal">
      <formula>"Revise"</formula>
    </cfRule>
  </conditionalFormatting>
  <dataValidations count="1">
    <dataValidation type="whole" allowBlank="1" errorTitle="Rating" error="Enter a whole number from 1 to 4." sqref="E6 E7 E8 E9 E10 E11 E12 E13 E14 E15 E16 E17 E18 E19 E20 E21 E22 E23 E24 E25 E26 E27 F6 F7 F8 F9 F10 F11 F12 F13 F14 F15 F16 F17 F18 F19 F20 F21 F22 F23 F24 F25 F26 F27 G6 G7 G8 G9 G10 G11 G12 G13 G14 G15 G16 G17 G18 G19 G20 G21 G22 G23 G24 G25 G26 G27 H6 H7 H8 H9 H10 H11 H12 H13 H14 H15 H16 H17 H18 H19 H20 H21 H22 H23 H24 H25 H26 H27 I6 I7 I8 I9 I10 I11 I12 I13 I14 I15 I16 I17 I18 I19 I20 I21 I22 I23 I24 I25 I26 I27 J6 J7 J8 J9 J10 J11 J12 J13 J14 J15 J16 J17 J18 J19 J20 J21 J22 J23 J24 J25 J26 J27 K6 K7 K8 K9 K10 K11 K12 K13 K14 K15 K16 K17 K18 K19 K20 K21 K22 K23 K24 K25 K26 K27 L6 L7 L8 L9 L10 L11 L12 L13 L14 L15 L16 L17 L18 L19 L20 L21 L22 L23 L24 L25 L26 L27 M6 M7 M8 M9 M10 M11 M12 M13 M14 M15 M16 M17 M18 M19 M20 M21 M22 M23 M24 M25 M26 M27 N6 N7 N8 N9 N10 N11 N12 N13 N14 N15 N16 N17 N18 N19 N20 N21 N22 N23 N24 N25 N26 N27" xr:uid="{00000000-0002-0000-0100-000000000000}">
      <formula1>1</formula1>
      <formula2>4</formula2>
    </dataValidation>
  </dataValidations>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38"/>
  <sheetViews>
    <sheetView workbookViewId="0">
      <pane xSplit="4" ySplit="5" topLeftCell="E6" activePane="bottomRight" state="frozen"/>
      <selection pane="topRight"/>
      <selection pane="bottomLeft"/>
      <selection pane="bottomRight"/>
    </sheetView>
  </sheetViews>
  <sheetFormatPr defaultRowHeight="15" x14ac:dyDescent="0.25"/>
  <cols>
    <col min="1" max="1" width="6" customWidth="1"/>
    <col min="2" max="2" width="18" customWidth="1"/>
    <col min="3" max="3" width="16" customWidth="1"/>
    <col min="4" max="4" width="48" customWidth="1"/>
    <col min="5" max="14" width="9" customWidth="1"/>
    <col min="15" max="16" width="10" customWidth="1"/>
    <col min="17" max="18" width="9" customWidth="1"/>
    <col min="19" max="19" width="11" customWidth="1"/>
    <col min="20" max="20" width="10" customWidth="1"/>
    <col min="21" max="22" width="11" customWidth="1"/>
  </cols>
  <sheetData>
    <row r="1" spans="1:22" ht="18.75" x14ac:dyDescent="0.3">
      <c r="A1" s="1" t="s">
        <v>109</v>
      </c>
    </row>
    <row r="2" spans="1:22" x14ac:dyDescent="0.25">
      <c r="A2" s="4" t="s">
        <v>110</v>
      </c>
    </row>
    <row r="3" spans="1:22" x14ac:dyDescent="0.25">
      <c r="A3" s="4" t="s">
        <v>38</v>
      </c>
    </row>
    <row r="5" spans="1:22" ht="28.5" x14ac:dyDescent="0.25">
      <c r="A5" s="8" t="s">
        <v>39</v>
      </c>
      <c r="B5" s="8" t="s">
        <v>40</v>
      </c>
      <c r="C5" s="8" t="s">
        <v>41</v>
      </c>
      <c r="D5" s="8" t="s">
        <v>42</v>
      </c>
      <c r="E5" s="8" t="s">
        <v>25</v>
      </c>
      <c r="F5" s="8" t="s">
        <v>26</v>
      </c>
      <c r="G5" s="8" t="s">
        <v>27</v>
      </c>
      <c r="H5" s="8" t="s">
        <v>28</v>
      </c>
      <c r="I5" s="8" t="s">
        <v>29</v>
      </c>
      <c r="J5" s="8" t="s">
        <v>43</v>
      </c>
      <c r="K5" s="8" t="s">
        <v>44</v>
      </c>
      <c r="L5" s="8" t="s">
        <v>45</v>
      </c>
      <c r="M5" s="8" t="s">
        <v>46</v>
      </c>
      <c r="N5" s="8" t="s">
        <v>47</v>
      </c>
      <c r="O5" s="8" t="s">
        <v>48</v>
      </c>
      <c r="P5" s="8" t="s">
        <v>49</v>
      </c>
      <c r="Q5" s="8" t="s">
        <v>7</v>
      </c>
      <c r="R5" s="8" t="s">
        <v>32</v>
      </c>
      <c r="S5" s="8" t="s">
        <v>9</v>
      </c>
      <c r="T5" s="8" t="s">
        <v>50</v>
      </c>
      <c r="U5" s="8" t="s">
        <v>34</v>
      </c>
      <c r="V5" s="8" t="s">
        <v>51</v>
      </c>
    </row>
    <row r="6" spans="1:22" x14ac:dyDescent="0.25">
      <c r="A6" s="9" t="s">
        <v>52</v>
      </c>
      <c r="B6" s="10" t="s">
        <v>53</v>
      </c>
      <c r="C6" s="10" t="s">
        <v>54</v>
      </c>
      <c r="D6" s="10" t="s">
        <v>55</v>
      </c>
      <c r="E6" s="11"/>
      <c r="F6" s="11"/>
      <c r="G6" s="11"/>
      <c r="H6" s="11"/>
      <c r="I6" s="11"/>
      <c r="J6" s="11"/>
      <c r="K6" s="11"/>
      <c r="L6" s="11"/>
      <c r="M6" s="11"/>
      <c r="N6" s="11"/>
      <c r="O6" s="9">
        <f t="shared" ref="O6:O31" si="0">COUNT(E6:N6)</f>
        <v>0</v>
      </c>
      <c r="P6" s="9">
        <f t="shared" ref="P6:P31" si="1">COUNTIF(E6:N6,"&gt;=3")</f>
        <v>0</v>
      </c>
      <c r="Q6" s="12" t="str">
        <f t="shared" ref="Q6:Q31" si="2">IF(O6=0,"",P6/O6)</f>
        <v/>
      </c>
      <c r="R6" s="12" t="str">
        <f t="shared" ref="R6:R31" si="3">IF(O6=0,"",COMBIN(O6,P6)*0.5^O6)</f>
        <v/>
      </c>
      <c r="S6" s="12" t="str">
        <f t="shared" ref="S6:S31" si="4">IF(O6=0,"",(Q6-R6)/(1-R6))</f>
        <v/>
      </c>
      <c r="T6" s="12" t="str">
        <f t="shared" ref="T6:T31" si="5">IF(O6=0,"",IF(O6&lt;6,1,0.78))</f>
        <v/>
      </c>
      <c r="U6" s="9" t="str">
        <f t="shared" ref="U6:U31" si="6">IF(O6=0,"",IF(O6&lt;3,"Need 3+ experts",IF(Q6&gt;=T6,"Keep","Revise")))</f>
        <v/>
      </c>
      <c r="V6" s="9" t="str">
        <f t="shared" ref="V6:V31" si="7">IF(O6=0,"",IF(S6&gt;0.74,"Excellent",IF(S6&gt;=0.6,"Good",IF(S6&gt;=0.4,"Fair","Poor"))))</f>
        <v/>
      </c>
    </row>
    <row r="7" spans="1:22" ht="30" x14ac:dyDescent="0.25">
      <c r="A7" s="9" t="s">
        <v>56</v>
      </c>
      <c r="B7" s="10" t="s">
        <v>53</v>
      </c>
      <c r="C7" s="10" t="s">
        <v>54</v>
      </c>
      <c r="D7" s="10" t="s">
        <v>57</v>
      </c>
      <c r="E7" s="11"/>
      <c r="F7" s="11"/>
      <c r="G7" s="11"/>
      <c r="H7" s="11"/>
      <c r="I7" s="11"/>
      <c r="J7" s="11"/>
      <c r="K7" s="11"/>
      <c r="L7" s="11"/>
      <c r="M7" s="11"/>
      <c r="N7" s="11"/>
      <c r="O7" s="9">
        <f t="shared" si="0"/>
        <v>0</v>
      </c>
      <c r="P7" s="9">
        <f t="shared" si="1"/>
        <v>0</v>
      </c>
      <c r="Q7" s="12" t="str">
        <f t="shared" si="2"/>
        <v/>
      </c>
      <c r="R7" s="12" t="str">
        <f t="shared" si="3"/>
        <v/>
      </c>
      <c r="S7" s="12" t="str">
        <f t="shared" si="4"/>
        <v/>
      </c>
      <c r="T7" s="12" t="str">
        <f t="shared" si="5"/>
        <v/>
      </c>
      <c r="U7" s="9" t="str">
        <f t="shared" si="6"/>
        <v/>
      </c>
      <c r="V7" s="9" t="str">
        <f t="shared" si="7"/>
        <v/>
      </c>
    </row>
    <row r="8" spans="1:22" ht="30" x14ac:dyDescent="0.25">
      <c r="A8" s="9" t="s">
        <v>58</v>
      </c>
      <c r="B8" s="10" t="s">
        <v>53</v>
      </c>
      <c r="C8" s="10" t="s">
        <v>54</v>
      </c>
      <c r="D8" s="10" t="s">
        <v>59</v>
      </c>
      <c r="E8" s="11"/>
      <c r="F8" s="11"/>
      <c r="G8" s="11"/>
      <c r="H8" s="11"/>
      <c r="I8" s="11"/>
      <c r="J8" s="11"/>
      <c r="K8" s="11"/>
      <c r="L8" s="11"/>
      <c r="M8" s="11"/>
      <c r="N8" s="11"/>
      <c r="O8" s="9">
        <f t="shared" si="0"/>
        <v>0</v>
      </c>
      <c r="P8" s="9">
        <f t="shared" si="1"/>
        <v>0</v>
      </c>
      <c r="Q8" s="12" t="str">
        <f t="shared" si="2"/>
        <v/>
      </c>
      <c r="R8" s="12" t="str">
        <f t="shared" si="3"/>
        <v/>
      </c>
      <c r="S8" s="12" t="str">
        <f t="shared" si="4"/>
        <v/>
      </c>
      <c r="T8" s="12" t="str">
        <f t="shared" si="5"/>
        <v/>
      </c>
      <c r="U8" s="9" t="str">
        <f t="shared" si="6"/>
        <v/>
      </c>
      <c r="V8" s="9" t="str">
        <f t="shared" si="7"/>
        <v/>
      </c>
    </row>
    <row r="9" spans="1:22" x14ac:dyDescent="0.25">
      <c r="A9" s="9" t="s">
        <v>60</v>
      </c>
      <c r="B9" s="10" t="s">
        <v>53</v>
      </c>
      <c r="C9" s="10" t="s">
        <v>54</v>
      </c>
      <c r="D9" s="10" t="s">
        <v>61</v>
      </c>
      <c r="E9" s="11"/>
      <c r="F9" s="11"/>
      <c r="G9" s="11"/>
      <c r="H9" s="11"/>
      <c r="I9" s="11"/>
      <c r="J9" s="11"/>
      <c r="K9" s="11"/>
      <c r="L9" s="11"/>
      <c r="M9" s="11"/>
      <c r="N9" s="11"/>
      <c r="O9" s="9">
        <f t="shared" si="0"/>
        <v>0</v>
      </c>
      <c r="P9" s="9">
        <f t="shared" si="1"/>
        <v>0</v>
      </c>
      <c r="Q9" s="12" t="str">
        <f t="shared" si="2"/>
        <v/>
      </c>
      <c r="R9" s="12" t="str">
        <f t="shared" si="3"/>
        <v/>
      </c>
      <c r="S9" s="12" t="str">
        <f t="shared" si="4"/>
        <v/>
      </c>
      <c r="T9" s="12" t="str">
        <f t="shared" si="5"/>
        <v/>
      </c>
      <c r="U9" s="9" t="str">
        <f t="shared" si="6"/>
        <v/>
      </c>
      <c r="V9" s="9" t="str">
        <f t="shared" si="7"/>
        <v/>
      </c>
    </row>
    <row r="10" spans="1:22" ht="30" x14ac:dyDescent="0.25">
      <c r="A10" s="9" t="s">
        <v>62</v>
      </c>
      <c r="B10" s="10" t="s">
        <v>53</v>
      </c>
      <c r="C10" s="10" t="s">
        <v>63</v>
      </c>
      <c r="D10" s="10" t="s">
        <v>64</v>
      </c>
      <c r="E10" s="11"/>
      <c r="F10" s="11"/>
      <c r="G10" s="11"/>
      <c r="H10" s="11"/>
      <c r="I10" s="11"/>
      <c r="J10" s="11"/>
      <c r="K10" s="11"/>
      <c r="L10" s="11"/>
      <c r="M10" s="11"/>
      <c r="N10" s="11"/>
      <c r="O10" s="9">
        <f t="shared" si="0"/>
        <v>0</v>
      </c>
      <c r="P10" s="9">
        <f t="shared" si="1"/>
        <v>0</v>
      </c>
      <c r="Q10" s="12" t="str">
        <f t="shared" si="2"/>
        <v/>
      </c>
      <c r="R10" s="12" t="str">
        <f t="shared" si="3"/>
        <v/>
      </c>
      <c r="S10" s="12" t="str">
        <f t="shared" si="4"/>
        <v/>
      </c>
      <c r="T10" s="12" t="str">
        <f t="shared" si="5"/>
        <v/>
      </c>
      <c r="U10" s="9" t="str">
        <f t="shared" si="6"/>
        <v/>
      </c>
      <c r="V10" s="9" t="str">
        <f t="shared" si="7"/>
        <v/>
      </c>
    </row>
    <row r="11" spans="1:22" ht="30" x14ac:dyDescent="0.25">
      <c r="A11" s="9" t="s">
        <v>65</v>
      </c>
      <c r="B11" s="10" t="s">
        <v>53</v>
      </c>
      <c r="C11" s="10" t="s">
        <v>63</v>
      </c>
      <c r="D11" s="10" t="s">
        <v>66</v>
      </c>
      <c r="E11" s="11"/>
      <c r="F11" s="11"/>
      <c r="G11" s="11"/>
      <c r="H11" s="11"/>
      <c r="I11" s="11"/>
      <c r="J11" s="11"/>
      <c r="K11" s="11"/>
      <c r="L11" s="11"/>
      <c r="M11" s="11"/>
      <c r="N11" s="11"/>
      <c r="O11" s="9">
        <f t="shared" si="0"/>
        <v>0</v>
      </c>
      <c r="P11" s="9">
        <f t="shared" si="1"/>
        <v>0</v>
      </c>
      <c r="Q11" s="12" t="str">
        <f t="shared" si="2"/>
        <v/>
      </c>
      <c r="R11" s="12" t="str">
        <f t="shared" si="3"/>
        <v/>
      </c>
      <c r="S11" s="12" t="str">
        <f t="shared" si="4"/>
        <v/>
      </c>
      <c r="T11" s="12" t="str">
        <f t="shared" si="5"/>
        <v/>
      </c>
      <c r="U11" s="9" t="str">
        <f t="shared" si="6"/>
        <v/>
      </c>
      <c r="V11" s="9" t="str">
        <f t="shared" si="7"/>
        <v/>
      </c>
    </row>
    <row r="12" spans="1:22" ht="30" x14ac:dyDescent="0.25">
      <c r="A12" s="9" t="s">
        <v>67</v>
      </c>
      <c r="B12" s="10" t="s">
        <v>53</v>
      </c>
      <c r="C12" s="10" t="s">
        <v>63</v>
      </c>
      <c r="D12" s="10" t="s">
        <v>68</v>
      </c>
      <c r="E12" s="11"/>
      <c r="F12" s="11"/>
      <c r="G12" s="11"/>
      <c r="H12" s="11"/>
      <c r="I12" s="11"/>
      <c r="J12" s="11"/>
      <c r="K12" s="11"/>
      <c r="L12" s="11"/>
      <c r="M12" s="11"/>
      <c r="N12" s="11"/>
      <c r="O12" s="9">
        <f t="shared" si="0"/>
        <v>0</v>
      </c>
      <c r="P12" s="9">
        <f t="shared" si="1"/>
        <v>0</v>
      </c>
      <c r="Q12" s="12" t="str">
        <f t="shared" si="2"/>
        <v/>
      </c>
      <c r="R12" s="12" t="str">
        <f t="shared" si="3"/>
        <v/>
      </c>
      <c r="S12" s="12" t="str">
        <f t="shared" si="4"/>
        <v/>
      </c>
      <c r="T12" s="12" t="str">
        <f t="shared" si="5"/>
        <v/>
      </c>
      <c r="U12" s="9" t="str">
        <f t="shared" si="6"/>
        <v/>
      </c>
      <c r="V12" s="9" t="str">
        <f t="shared" si="7"/>
        <v/>
      </c>
    </row>
    <row r="13" spans="1:22" ht="30" x14ac:dyDescent="0.25">
      <c r="A13" s="9" t="s">
        <v>69</v>
      </c>
      <c r="B13" s="10" t="s">
        <v>53</v>
      </c>
      <c r="C13" s="10" t="s">
        <v>63</v>
      </c>
      <c r="D13" s="10" t="s">
        <v>70</v>
      </c>
      <c r="E13" s="11"/>
      <c r="F13" s="11"/>
      <c r="G13" s="11"/>
      <c r="H13" s="11"/>
      <c r="I13" s="11"/>
      <c r="J13" s="11"/>
      <c r="K13" s="11"/>
      <c r="L13" s="11"/>
      <c r="M13" s="11"/>
      <c r="N13" s="11"/>
      <c r="O13" s="9">
        <f t="shared" si="0"/>
        <v>0</v>
      </c>
      <c r="P13" s="9">
        <f t="shared" si="1"/>
        <v>0</v>
      </c>
      <c r="Q13" s="12" t="str">
        <f t="shared" si="2"/>
        <v/>
      </c>
      <c r="R13" s="12" t="str">
        <f t="shared" si="3"/>
        <v/>
      </c>
      <c r="S13" s="12" t="str">
        <f t="shared" si="4"/>
        <v/>
      </c>
      <c r="T13" s="12" t="str">
        <f t="shared" si="5"/>
        <v/>
      </c>
      <c r="U13" s="9" t="str">
        <f t="shared" si="6"/>
        <v/>
      </c>
      <c r="V13" s="9" t="str">
        <f t="shared" si="7"/>
        <v/>
      </c>
    </row>
    <row r="14" spans="1:22" ht="30" x14ac:dyDescent="0.25">
      <c r="A14" s="9" t="s">
        <v>71</v>
      </c>
      <c r="B14" s="10" t="s">
        <v>53</v>
      </c>
      <c r="C14" s="10" t="s">
        <v>72</v>
      </c>
      <c r="D14" s="10" t="s">
        <v>73</v>
      </c>
      <c r="E14" s="11"/>
      <c r="F14" s="11"/>
      <c r="G14" s="11"/>
      <c r="H14" s="11"/>
      <c r="I14" s="11"/>
      <c r="J14" s="11"/>
      <c r="K14" s="11"/>
      <c r="L14" s="11"/>
      <c r="M14" s="11"/>
      <c r="N14" s="11"/>
      <c r="O14" s="9">
        <f t="shared" si="0"/>
        <v>0</v>
      </c>
      <c r="P14" s="9">
        <f t="shared" si="1"/>
        <v>0</v>
      </c>
      <c r="Q14" s="12" t="str">
        <f t="shared" si="2"/>
        <v/>
      </c>
      <c r="R14" s="12" t="str">
        <f t="shared" si="3"/>
        <v/>
      </c>
      <c r="S14" s="12" t="str">
        <f t="shared" si="4"/>
        <v/>
      </c>
      <c r="T14" s="12" t="str">
        <f t="shared" si="5"/>
        <v/>
      </c>
      <c r="U14" s="9" t="str">
        <f t="shared" si="6"/>
        <v/>
      </c>
      <c r="V14" s="9" t="str">
        <f t="shared" si="7"/>
        <v/>
      </c>
    </row>
    <row r="15" spans="1:22" x14ac:dyDescent="0.25">
      <c r="A15" s="9" t="s">
        <v>74</v>
      </c>
      <c r="B15" s="10" t="s">
        <v>53</v>
      </c>
      <c r="C15" s="10" t="s">
        <v>72</v>
      </c>
      <c r="D15" s="10" t="s">
        <v>75</v>
      </c>
      <c r="E15" s="11"/>
      <c r="F15" s="11"/>
      <c r="G15" s="11"/>
      <c r="H15" s="11"/>
      <c r="I15" s="11"/>
      <c r="J15" s="11"/>
      <c r="K15" s="11"/>
      <c r="L15" s="11"/>
      <c r="M15" s="11"/>
      <c r="N15" s="11"/>
      <c r="O15" s="9">
        <f t="shared" si="0"/>
        <v>0</v>
      </c>
      <c r="P15" s="9">
        <f t="shared" si="1"/>
        <v>0</v>
      </c>
      <c r="Q15" s="12" t="str">
        <f t="shared" si="2"/>
        <v/>
      </c>
      <c r="R15" s="12" t="str">
        <f t="shared" si="3"/>
        <v/>
      </c>
      <c r="S15" s="12" t="str">
        <f t="shared" si="4"/>
        <v/>
      </c>
      <c r="T15" s="12" t="str">
        <f t="shared" si="5"/>
        <v/>
      </c>
      <c r="U15" s="9" t="str">
        <f t="shared" si="6"/>
        <v/>
      </c>
      <c r="V15" s="9" t="str">
        <f t="shared" si="7"/>
        <v/>
      </c>
    </row>
    <row r="16" spans="1:22" ht="30" x14ac:dyDescent="0.25">
      <c r="A16" s="9" t="s">
        <v>76</v>
      </c>
      <c r="B16" s="10" t="s">
        <v>53</v>
      </c>
      <c r="C16" s="10" t="s">
        <v>72</v>
      </c>
      <c r="D16" s="10" t="s">
        <v>77</v>
      </c>
      <c r="E16" s="11"/>
      <c r="F16" s="11"/>
      <c r="G16" s="11"/>
      <c r="H16" s="11"/>
      <c r="I16" s="11"/>
      <c r="J16" s="11"/>
      <c r="K16" s="11"/>
      <c r="L16" s="11"/>
      <c r="M16" s="11"/>
      <c r="N16" s="11"/>
      <c r="O16" s="9">
        <f t="shared" si="0"/>
        <v>0</v>
      </c>
      <c r="P16" s="9">
        <f t="shared" si="1"/>
        <v>0</v>
      </c>
      <c r="Q16" s="12" t="str">
        <f t="shared" si="2"/>
        <v/>
      </c>
      <c r="R16" s="12" t="str">
        <f t="shared" si="3"/>
        <v/>
      </c>
      <c r="S16" s="12" t="str">
        <f t="shared" si="4"/>
        <v/>
      </c>
      <c r="T16" s="12" t="str">
        <f t="shared" si="5"/>
        <v/>
      </c>
      <c r="U16" s="9" t="str">
        <f t="shared" si="6"/>
        <v/>
      </c>
      <c r="V16" s="9" t="str">
        <f t="shared" si="7"/>
        <v/>
      </c>
    </row>
    <row r="17" spans="1:22" ht="30" x14ac:dyDescent="0.25">
      <c r="A17" s="9" t="s">
        <v>78</v>
      </c>
      <c r="B17" s="10" t="s">
        <v>53</v>
      </c>
      <c r="C17" s="10" t="s">
        <v>72</v>
      </c>
      <c r="D17" s="10" t="s">
        <v>79</v>
      </c>
      <c r="E17" s="11"/>
      <c r="F17" s="11"/>
      <c r="G17" s="11"/>
      <c r="H17" s="11"/>
      <c r="I17" s="11"/>
      <c r="J17" s="11"/>
      <c r="K17" s="11"/>
      <c r="L17" s="11"/>
      <c r="M17" s="11"/>
      <c r="N17" s="11"/>
      <c r="O17" s="9">
        <f t="shared" si="0"/>
        <v>0</v>
      </c>
      <c r="P17" s="9">
        <f t="shared" si="1"/>
        <v>0</v>
      </c>
      <c r="Q17" s="12" t="str">
        <f t="shared" si="2"/>
        <v/>
      </c>
      <c r="R17" s="12" t="str">
        <f t="shared" si="3"/>
        <v/>
      </c>
      <c r="S17" s="12" t="str">
        <f t="shared" si="4"/>
        <v/>
      </c>
      <c r="T17" s="12" t="str">
        <f t="shared" si="5"/>
        <v/>
      </c>
      <c r="U17" s="9" t="str">
        <f t="shared" si="6"/>
        <v/>
      </c>
      <c r="V17" s="9" t="str">
        <f t="shared" si="7"/>
        <v/>
      </c>
    </row>
    <row r="18" spans="1:22" ht="30" x14ac:dyDescent="0.25">
      <c r="A18" s="9" t="s">
        <v>80</v>
      </c>
      <c r="B18" s="10" t="s">
        <v>53</v>
      </c>
      <c r="C18" s="10" t="s">
        <v>81</v>
      </c>
      <c r="D18" s="10" t="s">
        <v>82</v>
      </c>
      <c r="E18" s="11"/>
      <c r="F18" s="11"/>
      <c r="G18" s="11"/>
      <c r="H18" s="11"/>
      <c r="I18" s="11"/>
      <c r="J18" s="11"/>
      <c r="K18" s="11"/>
      <c r="L18" s="11"/>
      <c r="M18" s="11"/>
      <c r="N18" s="11"/>
      <c r="O18" s="9">
        <f t="shared" si="0"/>
        <v>0</v>
      </c>
      <c r="P18" s="9">
        <f t="shared" si="1"/>
        <v>0</v>
      </c>
      <c r="Q18" s="12" t="str">
        <f t="shared" si="2"/>
        <v/>
      </c>
      <c r="R18" s="12" t="str">
        <f t="shared" si="3"/>
        <v/>
      </c>
      <c r="S18" s="12" t="str">
        <f t="shared" si="4"/>
        <v/>
      </c>
      <c r="T18" s="12" t="str">
        <f t="shared" si="5"/>
        <v/>
      </c>
      <c r="U18" s="9" t="str">
        <f t="shared" si="6"/>
        <v/>
      </c>
      <c r="V18" s="9" t="str">
        <f t="shared" si="7"/>
        <v/>
      </c>
    </row>
    <row r="19" spans="1:22" ht="30" x14ac:dyDescent="0.25">
      <c r="A19" s="9" t="s">
        <v>83</v>
      </c>
      <c r="B19" s="10" t="s">
        <v>53</v>
      </c>
      <c r="C19" s="10" t="s">
        <v>81</v>
      </c>
      <c r="D19" s="10" t="s">
        <v>84</v>
      </c>
      <c r="E19" s="11"/>
      <c r="F19" s="11"/>
      <c r="G19" s="11"/>
      <c r="H19" s="11"/>
      <c r="I19" s="11"/>
      <c r="J19" s="11"/>
      <c r="K19" s="11"/>
      <c r="L19" s="11"/>
      <c r="M19" s="11"/>
      <c r="N19" s="11"/>
      <c r="O19" s="9">
        <f t="shared" si="0"/>
        <v>0</v>
      </c>
      <c r="P19" s="9">
        <f t="shared" si="1"/>
        <v>0</v>
      </c>
      <c r="Q19" s="12" t="str">
        <f t="shared" si="2"/>
        <v/>
      </c>
      <c r="R19" s="12" t="str">
        <f t="shared" si="3"/>
        <v/>
      </c>
      <c r="S19" s="12" t="str">
        <f t="shared" si="4"/>
        <v/>
      </c>
      <c r="T19" s="12" t="str">
        <f t="shared" si="5"/>
        <v/>
      </c>
      <c r="U19" s="9" t="str">
        <f t="shared" si="6"/>
        <v/>
      </c>
      <c r="V19" s="9" t="str">
        <f t="shared" si="7"/>
        <v/>
      </c>
    </row>
    <row r="20" spans="1:22" ht="30" x14ac:dyDescent="0.25">
      <c r="A20" s="9" t="s">
        <v>85</v>
      </c>
      <c r="B20" s="10" t="s">
        <v>53</v>
      </c>
      <c r="C20" s="10" t="s">
        <v>81</v>
      </c>
      <c r="D20" s="10" t="s">
        <v>86</v>
      </c>
      <c r="E20" s="11"/>
      <c r="F20" s="11"/>
      <c r="G20" s="11"/>
      <c r="H20" s="11"/>
      <c r="I20" s="11"/>
      <c r="J20" s="11"/>
      <c r="K20" s="11"/>
      <c r="L20" s="11"/>
      <c r="M20" s="11"/>
      <c r="N20" s="11"/>
      <c r="O20" s="9">
        <f t="shared" si="0"/>
        <v>0</v>
      </c>
      <c r="P20" s="9">
        <f t="shared" si="1"/>
        <v>0</v>
      </c>
      <c r="Q20" s="12" t="str">
        <f t="shared" si="2"/>
        <v/>
      </c>
      <c r="R20" s="12" t="str">
        <f t="shared" si="3"/>
        <v/>
      </c>
      <c r="S20" s="12" t="str">
        <f t="shared" si="4"/>
        <v/>
      </c>
      <c r="T20" s="12" t="str">
        <f t="shared" si="5"/>
        <v/>
      </c>
      <c r="U20" s="9" t="str">
        <f t="shared" si="6"/>
        <v/>
      </c>
      <c r="V20" s="9" t="str">
        <f t="shared" si="7"/>
        <v/>
      </c>
    </row>
    <row r="21" spans="1:22" ht="30" x14ac:dyDescent="0.25">
      <c r="A21" s="9" t="s">
        <v>87</v>
      </c>
      <c r="B21" s="10" t="s">
        <v>53</v>
      </c>
      <c r="C21" s="10" t="s">
        <v>81</v>
      </c>
      <c r="D21" s="10" t="s">
        <v>88</v>
      </c>
      <c r="E21" s="11"/>
      <c r="F21" s="11"/>
      <c r="G21" s="11"/>
      <c r="H21" s="11"/>
      <c r="I21" s="11"/>
      <c r="J21" s="11"/>
      <c r="K21" s="11"/>
      <c r="L21" s="11"/>
      <c r="M21" s="11"/>
      <c r="N21" s="11"/>
      <c r="O21" s="9">
        <f t="shared" si="0"/>
        <v>0</v>
      </c>
      <c r="P21" s="9">
        <f t="shared" si="1"/>
        <v>0</v>
      </c>
      <c r="Q21" s="12" t="str">
        <f t="shared" si="2"/>
        <v/>
      </c>
      <c r="R21" s="12" t="str">
        <f t="shared" si="3"/>
        <v/>
      </c>
      <c r="S21" s="12" t="str">
        <f t="shared" si="4"/>
        <v/>
      </c>
      <c r="T21" s="12" t="str">
        <f t="shared" si="5"/>
        <v/>
      </c>
      <c r="U21" s="9" t="str">
        <f t="shared" si="6"/>
        <v/>
      </c>
      <c r="V21" s="9" t="str">
        <f t="shared" si="7"/>
        <v/>
      </c>
    </row>
    <row r="22" spans="1:22" ht="30" x14ac:dyDescent="0.25">
      <c r="A22" s="9" t="s">
        <v>89</v>
      </c>
      <c r="B22" s="10" t="s">
        <v>90</v>
      </c>
      <c r="C22" s="10" t="s">
        <v>91</v>
      </c>
      <c r="D22" s="10" t="s">
        <v>92</v>
      </c>
      <c r="E22" s="11"/>
      <c r="F22" s="11"/>
      <c r="G22" s="11"/>
      <c r="H22" s="11"/>
      <c r="I22" s="11"/>
      <c r="J22" s="11"/>
      <c r="K22" s="11"/>
      <c r="L22" s="11"/>
      <c r="M22" s="11"/>
      <c r="N22" s="11"/>
      <c r="O22" s="9">
        <f t="shared" si="0"/>
        <v>0</v>
      </c>
      <c r="P22" s="9">
        <f t="shared" si="1"/>
        <v>0</v>
      </c>
      <c r="Q22" s="12" t="str">
        <f t="shared" si="2"/>
        <v/>
      </c>
      <c r="R22" s="12" t="str">
        <f t="shared" si="3"/>
        <v/>
      </c>
      <c r="S22" s="12" t="str">
        <f t="shared" si="4"/>
        <v/>
      </c>
      <c r="T22" s="12" t="str">
        <f t="shared" si="5"/>
        <v/>
      </c>
      <c r="U22" s="9" t="str">
        <f t="shared" si="6"/>
        <v/>
      </c>
      <c r="V22" s="9" t="str">
        <f t="shared" si="7"/>
        <v/>
      </c>
    </row>
    <row r="23" spans="1:22" ht="30" x14ac:dyDescent="0.25">
      <c r="A23" s="9" t="s">
        <v>93</v>
      </c>
      <c r="B23" s="10" t="s">
        <v>90</v>
      </c>
      <c r="C23" s="10" t="s">
        <v>91</v>
      </c>
      <c r="D23" s="10" t="s">
        <v>94</v>
      </c>
      <c r="E23" s="11"/>
      <c r="F23" s="11"/>
      <c r="G23" s="11"/>
      <c r="H23" s="11"/>
      <c r="I23" s="11"/>
      <c r="J23" s="11"/>
      <c r="K23" s="11"/>
      <c r="L23" s="11"/>
      <c r="M23" s="11"/>
      <c r="N23" s="11"/>
      <c r="O23" s="9">
        <f t="shared" si="0"/>
        <v>0</v>
      </c>
      <c r="P23" s="9">
        <f t="shared" si="1"/>
        <v>0</v>
      </c>
      <c r="Q23" s="12" t="str">
        <f t="shared" si="2"/>
        <v/>
      </c>
      <c r="R23" s="12" t="str">
        <f t="shared" si="3"/>
        <v/>
      </c>
      <c r="S23" s="12" t="str">
        <f t="shared" si="4"/>
        <v/>
      </c>
      <c r="T23" s="12" t="str">
        <f t="shared" si="5"/>
        <v/>
      </c>
      <c r="U23" s="9" t="str">
        <f t="shared" si="6"/>
        <v/>
      </c>
      <c r="V23" s="9" t="str">
        <f t="shared" si="7"/>
        <v/>
      </c>
    </row>
    <row r="24" spans="1:22" ht="30" x14ac:dyDescent="0.25">
      <c r="A24" s="9" t="s">
        <v>95</v>
      </c>
      <c r="B24" s="10" t="s">
        <v>90</v>
      </c>
      <c r="C24" s="10" t="s">
        <v>91</v>
      </c>
      <c r="D24" s="10" t="s">
        <v>96</v>
      </c>
      <c r="E24" s="11"/>
      <c r="F24" s="11"/>
      <c r="G24" s="11"/>
      <c r="H24" s="11"/>
      <c r="I24" s="11"/>
      <c r="J24" s="11"/>
      <c r="K24" s="11"/>
      <c r="L24" s="11"/>
      <c r="M24" s="11"/>
      <c r="N24" s="11"/>
      <c r="O24" s="9">
        <f t="shared" si="0"/>
        <v>0</v>
      </c>
      <c r="P24" s="9">
        <f t="shared" si="1"/>
        <v>0</v>
      </c>
      <c r="Q24" s="12" t="str">
        <f t="shared" si="2"/>
        <v/>
      </c>
      <c r="R24" s="12" t="str">
        <f t="shared" si="3"/>
        <v/>
      </c>
      <c r="S24" s="12" t="str">
        <f t="shared" si="4"/>
        <v/>
      </c>
      <c r="T24" s="12" t="str">
        <f t="shared" si="5"/>
        <v/>
      </c>
      <c r="U24" s="9" t="str">
        <f t="shared" si="6"/>
        <v/>
      </c>
      <c r="V24" s="9" t="str">
        <f t="shared" si="7"/>
        <v/>
      </c>
    </row>
    <row r="25" spans="1:22" ht="30" x14ac:dyDescent="0.25">
      <c r="A25" s="9" t="s">
        <v>97</v>
      </c>
      <c r="B25" s="10" t="s">
        <v>90</v>
      </c>
      <c r="C25" s="10" t="s">
        <v>91</v>
      </c>
      <c r="D25" s="10" t="s">
        <v>98</v>
      </c>
      <c r="E25" s="11"/>
      <c r="F25" s="11"/>
      <c r="G25" s="11"/>
      <c r="H25" s="11"/>
      <c r="I25" s="11"/>
      <c r="J25" s="11"/>
      <c r="K25" s="11"/>
      <c r="L25" s="11"/>
      <c r="M25" s="11"/>
      <c r="N25" s="11"/>
      <c r="O25" s="9">
        <f t="shared" si="0"/>
        <v>0</v>
      </c>
      <c r="P25" s="9">
        <f t="shared" si="1"/>
        <v>0</v>
      </c>
      <c r="Q25" s="12" t="str">
        <f t="shared" si="2"/>
        <v/>
      </c>
      <c r="R25" s="12" t="str">
        <f t="shared" si="3"/>
        <v/>
      </c>
      <c r="S25" s="12" t="str">
        <f t="shared" si="4"/>
        <v/>
      </c>
      <c r="T25" s="12" t="str">
        <f t="shared" si="5"/>
        <v/>
      </c>
      <c r="U25" s="9" t="str">
        <f t="shared" si="6"/>
        <v/>
      </c>
      <c r="V25" s="9" t="str">
        <f t="shared" si="7"/>
        <v/>
      </c>
    </row>
    <row r="26" spans="1:22" ht="30" x14ac:dyDescent="0.25">
      <c r="A26" s="9" t="s">
        <v>99</v>
      </c>
      <c r="B26" s="10" t="s">
        <v>90</v>
      </c>
      <c r="C26" s="10" t="s">
        <v>100</v>
      </c>
      <c r="D26" s="10" t="s">
        <v>101</v>
      </c>
      <c r="E26" s="11"/>
      <c r="F26" s="11"/>
      <c r="G26" s="11"/>
      <c r="H26" s="11"/>
      <c r="I26" s="11"/>
      <c r="J26" s="11"/>
      <c r="K26" s="11"/>
      <c r="L26" s="11"/>
      <c r="M26" s="11"/>
      <c r="N26" s="11"/>
      <c r="O26" s="9">
        <f t="shared" si="0"/>
        <v>0</v>
      </c>
      <c r="P26" s="9">
        <f t="shared" si="1"/>
        <v>0</v>
      </c>
      <c r="Q26" s="12" t="str">
        <f t="shared" si="2"/>
        <v/>
      </c>
      <c r="R26" s="12" t="str">
        <f t="shared" si="3"/>
        <v/>
      </c>
      <c r="S26" s="12" t="str">
        <f t="shared" si="4"/>
        <v/>
      </c>
      <c r="T26" s="12" t="str">
        <f t="shared" si="5"/>
        <v/>
      </c>
      <c r="U26" s="9" t="str">
        <f t="shared" si="6"/>
        <v/>
      </c>
      <c r="V26" s="9" t="str">
        <f t="shared" si="7"/>
        <v/>
      </c>
    </row>
    <row r="27" spans="1:22" ht="30" x14ac:dyDescent="0.25">
      <c r="A27" s="9" t="s">
        <v>102</v>
      </c>
      <c r="B27" s="10" t="s">
        <v>90</v>
      </c>
      <c r="C27" s="10" t="s">
        <v>100</v>
      </c>
      <c r="D27" s="10" t="s">
        <v>103</v>
      </c>
      <c r="E27" s="11"/>
      <c r="F27" s="11"/>
      <c r="G27" s="11"/>
      <c r="H27" s="11"/>
      <c r="I27" s="11"/>
      <c r="J27" s="11"/>
      <c r="K27" s="11"/>
      <c r="L27" s="11"/>
      <c r="M27" s="11"/>
      <c r="N27" s="11"/>
      <c r="O27" s="9">
        <f t="shared" si="0"/>
        <v>0</v>
      </c>
      <c r="P27" s="9">
        <f t="shared" si="1"/>
        <v>0</v>
      </c>
      <c r="Q27" s="12" t="str">
        <f t="shared" si="2"/>
        <v/>
      </c>
      <c r="R27" s="12" t="str">
        <f t="shared" si="3"/>
        <v/>
      </c>
      <c r="S27" s="12" t="str">
        <f t="shared" si="4"/>
        <v/>
      </c>
      <c r="T27" s="12" t="str">
        <f t="shared" si="5"/>
        <v/>
      </c>
      <c r="U27" s="9" t="str">
        <f t="shared" si="6"/>
        <v/>
      </c>
      <c r="V27" s="9" t="str">
        <f t="shared" si="7"/>
        <v/>
      </c>
    </row>
    <row r="28" spans="1:22" ht="30" x14ac:dyDescent="0.25">
      <c r="A28" s="9" t="s">
        <v>111</v>
      </c>
      <c r="B28" s="10" t="s">
        <v>112</v>
      </c>
      <c r="C28" s="10"/>
      <c r="D28" s="10" t="s">
        <v>113</v>
      </c>
      <c r="E28" s="11"/>
      <c r="F28" s="11"/>
      <c r="G28" s="11"/>
      <c r="H28" s="11"/>
      <c r="I28" s="11"/>
      <c r="J28" s="11"/>
      <c r="K28" s="11"/>
      <c r="L28" s="11"/>
      <c r="M28" s="11"/>
      <c r="N28" s="11"/>
      <c r="O28" s="9">
        <f t="shared" si="0"/>
        <v>0</v>
      </c>
      <c r="P28" s="9">
        <f t="shared" si="1"/>
        <v>0</v>
      </c>
      <c r="Q28" s="12" t="str">
        <f t="shared" si="2"/>
        <v/>
      </c>
      <c r="R28" s="12" t="str">
        <f t="shared" si="3"/>
        <v/>
      </c>
      <c r="S28" s="12" t="str">
        <f t="shared" si="4"/>
        <v/>
      </c>
      <c r="T28" s="12" t="str">
        <f t="shared" si="5"/>
        <v/>
      </c>
      <c r="U28" s="9" t="str">
        <f t="shared" si="6"/>
        <v/>
      </c>
      <c r="V28" s="9" t="str">
        <f t="shared" si="7"/>
        <v/>
      </c>
    </row>
    <row r="29" spans="1:22" ht="30" x14ac:dyDescent="0.25">
      <c r="A29" s="9" t="s">
        <v>114</v>
      </c>
      <c r="B29" s="10" t="s">
        <v>112</v>
      </c>
      <c r="C29" s="10"/>
      <c r="D29" s="10" t="s">
        <v>115</v>
      </c>
      <c r="E29" s="11"/>
      <c r="F29" s="11"/>
      <c r="G29" s="11"/>
      <c r="H29" s="11"/>
      <c r="I29" s="11"/>
      <c r="J29" s="11"/>
      <c r="K29" s="11"/>
      <c r="L29" s="11"/>
      <c r="M29" s="11"/>
      <c r="N29" s="11"/>
      <c r="O29" s="9">
        <f t="shared" si="0"/>
        <v>0</v>
      </c>
      <c r="P29" s="9">
        <f t="shared" si="1"/>
        <v>0</v>
      </c>
      <c r="Q29" s="12" t="str">
        <f t="shared" si="2"/>
        <v/>
      </c>
      <c r="R29" s="12" t="str">
        <f t="shared" si="3"/>
        <v/>
      </c>
      <c r="S29" s="12" t="str">
        <f t="shared" si="4"/>
        <v/>
      </c>
      <c r="T29" s="12" t="str">
        <f t="shared" si="5"/>
        <v/>
      </c>
      <c r="U29" s="9" t="str">
        <f t="shared" si="6"/>
        <v/>
      </c>
      <c r="V29" s="9" t="str">
        <f t="shared" si="7"/>
        <v/>
      </c>
    </row>
    <row r="30" spans="1:22" ht="30" x14ac:dyDescent="0.25">
      <c r="A30" s="9" t="s">
        <v>116</v>
      </c>
      <c r="B30" s="10" t="s">
        <v>112</v>
      </c>
      <c r="C30" s="10"/>
      <c r="D30" s="10" t="s">
        <v>117</v>
      </c>
      <c r="E30" s="11"/>
      <c r="F30" s="11"/>
      <c r="G30" s="11"/>
      <c r="H30" s="11"/>
      <c r="I30" s="11"/>
      <c r="J30" s="11"/>
      <c r="K30" s="11"/>
      <c r="L30" s="11"/>
      <c r="M30" s="11"/>
      <c r="N30" s="11"/>
      <c r="O30" s="9">
        <f t="shared" si="0"/>
        <v>0</v>
      </c>
      <c r="P30" s="9">
        <f t="shared" si="1"/>
        <v>0</v>
      </c>
      <c r="Q30" s="12" t="str">
        <f t="shared" si="2"/>
        <v/>
      </c>
      <c r="R30" s="12" t="str">
        <f t="shared" si="3"/>
        <v/>
      </c>
      <c r="S30" s="12" t="str">
        <f t="shared" si="4"/>
        <v/>
      </c>
      <c r="T30" s="12" t="str">
        <f t="shared" si="5"/>
        <v/>
      </c>
      <c r="U30" s="9" t="str">
        <f t="shared" si="6"/>
        <v/>
      </c>
      <c r="V30" s="9" t="str">
        <f t="shared" si="7"/>
        <v/>
      </c>
    </row>
    <row r="31" spans="1:22" ht="30" x14ac:dyDescent="0.25">
      <c r="A31" s="9" t="s">
        <v>118</v>
      </c>
      <c r="B31" s="10" t="s">
        <v>112</v>
      </c>
      <c r="C31" s="10"/>
      <c r="D31" s="10" t="s">
        <v>119</v>
      </c>
      <c r="E31" s="11"/>
      <c r="F31" s="11"/>
      <c r="G31" s="11"/>
      <c r="H31" s="11"/>
      <c r="I31" s="11"/>
      <c r="J31" s="11"/>
      <c r="K31" s="11"/>
      <c r="L31" s="11"/>
      <c r="M31" s="11"/>
      <c r="N31" s="11"/>
      <c r="O31" s="9">
        <f t="shared" si="0"/>
        <v>0</v>
      </c>
      <c r="P31" s="9">
        <f t="shared" si="1"/>
        <v>0</v>
      </c>
      <c r="Q31" s="12" t="str">
        <f t="shared" si="2"/>
        <v/>
      </c>
      <c r="R31" s="12" t="str">
        <f t="shared" si="3"/>
        <v/>
      </c>
      <c r="S31" s="12" t="str">
        <f t="shared" si="4"/>
        <v/>
      </c>
      <c r="T31" s="12" t="str">
        <f t="shared" si="5"/>
        <v/>
      </c>
      <c r="U31" s="9" t="str">
        <f t="shared" si="6"/>
        <v/>
      </c>
      <c r="V31" s="9" t="str">
        <f t="shared" si="7"/>
        <v/>
      </c>
    </row>
    <row r="33" spans="4:8" x14ac:dyDescent="0.25">
      <c r="D33" s="2" t="s">
        <v>104</v>
      </c>
    </row>
    <row r="34" spans="4:8" ht="42.75" x14ac:dyDescent="0.25">
      <c r="D34" s="8" t="s">
        <v>40</v>
      </c>
      <c r="E34" s="8" t="s">
        <v>105</v>
      </c>
      <c r="F34" s="8" t="s">
        <v>11</v>
      </c>
      <c r="G34" s="8" t="s">
        <v>106</v>
      </c>
      <c r="H34" s="8" t="s">
        <v>107</v>
      </c>
    </row>
    <row r="35" spans="4:8" x14ac:dyDescent="0.25">
      <c r="D35" s="10" t="s">
        <v>53</v>
      </c>
      <c r="E35" s="9">
        <f>COUNT(Q6:Q21)</f>
        <v>0</v>
      </c>
      <c r="F35" s="12" t="str">
        <f>IF(COUNT(Q6:Q21)=0,"",AVERAGE(Q6:Q21))</f>
        <v/>
      </c>
      <c r="G35" s="12" t="str">
        <f>IF(COUNT(Q6:Q21)=0,"",COUNTIF(Q6:Q21,1)/COUNT(Q6:Q21))</f>
        <v/>
      </c>
      <c r="H35" s="9">
        <f>COUNTIF(U6:U21,"Revise")</f>
        <v>0</v>
      </c>
    </row>
    <row r="36" spans="4:8" x14ac:dyDescent="0.25">
      <c r="D36" s="10" t="s">
        <v>90</v>
      </c>
      <c r="E36" s="9">
        <f>COUNT(Q22:Q27)</f>
        <v>0</v>
      </c>
      <c r="F36" s="12" t="str">
        <f>IF(COUNT(Q22:Q27)=0,"",AVERAGE(Q22:Q27))</f>
        <v/>
      </c>
      <c r="G36" s="12" t="str">
        <f>IF(COUNT(Q22:Q27)=0,"",COUNTIF(Q22:Q27,1)/COUNT(Q22:Q27))</f>
        <v/>
      </c>
      <c r="H36" s="9">
        <f>COUNTIF(U22:U27,"Revise")</f>
        <v>0</v>
      </c>
    </row>
    <row r="37" spans="4:8" x14ac:dyDescent="0.25">
      <c r="D37" s="10" t="s">
        <v>112</v>
      </c>
      <c r="E37" s="9">
        <f>COUNT(Q28:Q31)</f>
        <v>0</v>
      </c>
      <c r="F37" s="12" t="str">
        <f>IF(COUNT(Q28:Q31)=0,"",AVERAGE(Q28:Q31))</f>
        <v/>
      </c>
      <c r="G37" s="12" t="str">
        <f>IF(COUNT(Q28:Q31)=0,"",COUNTIF(Q28:Q31,1)/COUNT(Q28:Q31))</f>
        <v/>
      </c>
      <c r="H37" s="9">
        <f>COUNTIF(U28:U31,"Revise")</f>
        <v>0</v>
      </c>
    </row>
    <row r="38" spans="4:8" ht="45" x14ac:dyDescent="0.25">
      <c r="D38" s="3" t="s">
        <v>108</v>
      </c>
    </row>
  </sheetData>
  <conditionalFormatting sqref="U6:U31">
    <cfRule type="cellIs" dxfId="0" priority="1" operator="equal">
      <formula>"Revise"</formula>
    </cfRule>
  </conditionalFormatting>
  <dataValidations count="1">
    <dataValidation type="whole" allowBlank="1" errorTitle="Rating" error="Enter a whole number from 1 to 4." sqref="E6 E7 E8 E9 E10 E11 E12 E13 E14 E15 E16 E17 E18 E19 E20 E21 E22 E23 E24 E25 E26 E27 E28 E29 E30 E31 F6 F7 F8 F9 F10 F11 F12 F13 F14 F15 F16 F17 F18 F19 F20 F21 F22 F23 F24 F25 F26 F27 F28 F29 F30 F31 G6 G7 G8 G9 G10 G11 G12 G13 G14 G15 G16 G17 G18 G19 G20 G21 G22 G23 G24 G25 G26 G27 G28 G29 G30 G31 H6 H7 H8 H9 H10 H11 H12 H13 H14 H15 H16 H17 H18 H19 H20 H21 H22 H23 H24 H25 H26 H27 H28 H29 H30 H31 I6 I7 I8 I9 I10 I11 I12 I13 I14 I15 I16 I17 I18 I19 I20 I21 I22 I23 I24 I25 I26 I27 I28 I29 I30 I31 J6 J7 J8 J9 J10 J11 J12 J13 J14 J15 J16 J17 J18 J19 J20 J21 J22 J23 J24 J25 J26 J27 J28 J29 J30 J31 K6 K7 K8 K9 K10 K11 K12 K13 K14 K15 K16 K17 K18 K19 K20 K21 K22 K23 K24 K25 K26 K27 K28 K29 K30 K31 L6 L7 L8 L9 L10 L11 L12 L13 L14 L15 L16 L17 L18 L19 L20 L21 L22 L23 L24 L25 L26 L27 L28 L29 L30 L31 M6 M7 M8 M9 M10 M11 M12 M13 M14 M15 M16 M17 M18 M19 M20 M21 M22 M23 M24 M25 M26 M27 M28 M29 M30 M31 N6 N7 N8 N9 N10 N11 N12 N13 N14 N15 N16 N17 N18 N19 N20 N21 N22 N23 N24 N25 N26 N27 N28 N29 N30 N31" xr:uid="{00000000-0002-0000-0200-000000000000}">
      <formula1>1</formula1>
      <formula2>4</formula2>
    </dataValidation>
  </dataValidations>
  <pageMargins left="0.75" right="0.75" top="1" bottom="1" header="0.5" footer="0.5"/>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39"/>
  <sheetViews>
    <sheetView workbookViewId="0">
      <pane xSplit="4" ySplit="4" topLeftCell="E5" activePane="bottomRight" state="frozen"/>
      <selection pane="topRight"/>
      <selection pane="bottomLeft"/>
      <selection pane="bottomRight"/>
    </sheetView>
  </sheetViews>
  <sheetFormatPr defaultRowHeight="15" x14ac:dyDescent="0.25"/>
  <cols>
    <col min="1" max="1" width="6" customWidth="1"/>
    <col min="2" max="2" width="26" customWidth="1"/>
    <col min="3" max="3" width="30" customWidth="1"/>
    <col min="4" max="4" width="44" customWidth="1"/>
    <col min="5" max="14" width="9" customWidth="1"/>
    <col min="15" max="15" width="10" customWidth="1"/>
    <col min="16" max="16" width="8" customWidth="1"/>
    <col min="17" max="17" width="9" customWidth="1"/>
    <col min="18" max="18" width="11" customWidth="1"/>
  </cols>
  <sheetData>
    <row r="1" spans="1:18" ht="18.75" x14ac:dyDescent="0.3">
      <c r="A1" s="1" t="s">
        <v>120</v>
      </c>
    </row>
    <row r="2" spans="1:18" x14ac:dyDescent="0.25">
      <c r="A2" s="4" t="s">
        <v>121</v>
      </c>
    </row>
    <row r="4" spans="1:18" ht="28.5" x14ac:dyDescent="0.25">
      <c r="A4" s="8" t="s">
        <v>39</v>
      </c>
      <c r="B4" s="8" t="s">
        <v>122</v>
      </c>
      <c r="C4" s="8" t="s">
        <v>42</v>
      </c>
      <c r="D4" s="8" t="s">
        <v>123</v>
      </c>
      <c r="E4" s="8" t="s">
        <v>25</v>
      </c>
      <c r="F4" s="8" t="s">
        <v>26</v>
      </c>
      <c r="G4" s="8" t="s">
        <v>27</v>
      </c>
      <c r="H4" s="8" t="s">
        <v>28</v>
      </c>
      <c r="I4" s="8" t="s">
        <v>29</v>
      </c>
      <c r="J4" s="8" t="s">
        <v>43</v>
      </c>
      <c r="K4" s="8" t="s">
        <v>44</v>
      </c>
      <c r="L4" s="8" t="s">
        <v>45</v>
      </c>
      <c r="M4" s="8" t="s">
        <v>46</v>
      </c>
      <c r="N4" s="8" t="s">
        <v>47</v>
      </c>
      <c r="O4" s="8" t="s">
        <v>124</v>
      </c>
      <c r="P4" s="8" t="s">
        <v>125</v>
      </c>
      <c r="Q4" s="8" t="s">
        <v>126</v>
      </c>
      <c r="R4" s="8" t="s">
        <v>34</v>
      </c>
    </row>
    <row r="5" spans="1:18" x14ac:dyDescent="0.25">
      <c r="A5" s="9" t="s">
        <v>52</v>
      </c>
      <c r="B5" s="10" t="s">
        <v>127</v>
      </c>
      <c r="C5" s="10" t="s">
        <v>54</v>
      </c>
      <c r="D5" s="10" t="s">
        <v>55</v>
      </c>
      <c r="E5" s="11"/>
      <c r="F5" s="11"/>
      <c r="G5" s="11"/>
      <c r="H5" s="11"/>
      <c r="I5" s="11"/>
      <c r="J5" s="11"/>
      <c r="K5" s="11"/>
      <c r="L5" s="11"/>
      <c r="M5" s="11"/>
      <c r="N5" s="11"/>
      <c r="O5" s="9">
        <f t="shared" ref="O5:O37" si="0">COUNTA(E5:N5)</f>
        <v>0</v>
      </c>
      <c r="P5" s="9">
        <f t="shared" ref="P5:P37" si="1">COUNTIF(E5:N5,"Y")</f>
        <v>0</v>
      </c>
      <c r="Q5" s="13" t="str">
        <f t="shared" ref="Q5:Q37" si="2">IF(O5=0,"",P5/O5)</f>
        <v/>
      </c>
      <c r="R5" s="9" t="str">
        <f t="shared" ref="R5:R37" si="3">IF(O5=0,"",IF(Q5&gt;=0.78,"OK","Review"))</f>
        <v/>
      </c>
    </row>
    <row r="6" spans="1:18" ht="30" x14ac:dyDescent="0.25">
      <c r="A6" s="9" t="s">
        <v>56</v>
      </c>
      <c r="B6" s="10" t="s">
        <v>127</v>
      </c>
      <c r="C6" s="10" t="s">
        <v>54</v>
      </c>
      <c r="D6" s="10" t="s">
        <v>57</v>
      </c>
      <c r="E6" s="11"/>
      <c r="F6" s="11"/>
      <c r="G6" s="11"/>
      <c r="H6" s="11"/>
      <c r="I6" s="11"/>
      <c r="J6" s="11"/>
      <c r="K6" s="11"/>
      <c r="L6" s="11"/>
      <c r="M6" s="11"/>
      <c r="N6" s="11"/>
      <c r="O6" s="9">
        <f t="shared" si="0"/>
        <v>0</v>
      </c>
      <c r="P6" s="9">
        <f t="shared" si="1"/>
        <v>0</v>
      </c>
      <c r="Q6" s="13" t="str">
        <f t="shared" si="2"/>
        <v/>
      </c>
      <c r="R6" s="9" t="str">
        <f t="shared" si="3"/>
        <v/>
      </c>
    </row>
    <row r="7" spans="1:18" ht="30" x14ac:dyDescent="0.25">
      <c r="A7" s="9" t="s">
        <v>58</v>
      </c>
      <c r="B7" s="10" t="s">
        <v>127</v>
      </c>
      <c r="C7" s="10" t="s">
        <v>54</v>
      </c>
      <c r="D7" s="10" t="s">
        <v>59</v>
      </c>
      <c r="E7" s="11"/>
      <c r="F7" s="11"/>
      <c r="G7" s="11"/>
      <c r="H7" s="11"/>
      <c r="I7" s="11"/>
      <c r="J7" s="11"/>
      <c r="K7" s="11"/>
      <c r="L7" s="11"/>
      <c r="M7" s="11"/>
      <c r="N7" s="11"/>
      <c r="O7" s="9">
        <f t="shared" si="0"/>
        <v>0</v>
      </c>
      <c r="P7" s="9">
        <f t="shared" si="1"/>
        <v>0</v>
      </c>
      <c r="Q7" s="13" t="str">
        <f t="shared" si="2"/>
        <v/>
      </c>
      <c r="R7" s="9" t="str">
        <f t="shared" si="3"/>
        <v/>
      </c>
    </row>
    <row r="8" spans="1:18" x14ac:dyDescent="0.25">
      <c r="A8" s="9" t="s">
        <v>60</v>
      </c>
      <c r="B8" s="10" t="s">
        <v>127</v>
      </c>
      <c r="C8" s="10" t="s">
        <v>54</v>
      </c>
      <c r="D8" s="10" t="s">
        <v>61</v>
      </c>
      <c r="E8" s="11"/>
      <c r="F8" s="11"/>
      <c r="G8" s="11"/>
      <c r="H8" s="11"/>
      <c r="I8" s="11"/>
      <c r="J8" s="11"/>
      <c r="K8" s="11"/>
      <c r="L8" s="11"/>
      <c r="M8" s="11"/>
      <c r="N8" s="11"/>
      <c r="O8" s="9">
        <f t="shared" si="0"/>
        <v>0</v>
      </c>
      <c r="P8" s="9">
        <f t="shared" si="1"/>
        <v>0</v>
      </c>
      <c r="Q8" s="13" t="str">
        <f t="shared" si="2"/>
        <v/>
      </c>
      <c r="R8" s="9" t="str">
        <f t="shared" si="3"/>
        <v/>
      </c>
    </row>
    <row r="9" spans="1:18" ht="30" x14ac:dyDescent="0.25">
      <c r="A9" s="9" t="s">
        <v>62</v>
      </c>
      <c r="B9" s="10" t="s">
        <v>127</v>
      </c>
      <c r="C9" s="10" t="s">
        <v>63</v>
      </c>
      <c r="D9" s="10" t="s">
        <v>64</v>
      </c>
      <c r="E9" s="11"/>
      <c r="F9" s="11"/>
      <c r="G9" s="11"/>
      <c r="H9" s="11"/>
      <c r="I9" s="11"/>
      <c r="J9" s="11"/>
      <c r="K9" s="11"/>
      <c r="L9" s="11"/>
      <c r="M9" s="11"/>
      <c r="N9" s="11"/>
      <c r="O9" s="9">
        <f t="shared" si="0"/>
        <v>0</v>
      </c>
      <c r="P9" s="9">
        <f t="shared" si="1"/>
        <v>0</v>
      </c>
      <c r="Q9" s="13" t="str">
        <f t="shared" si="2"/>
        <v/>
      </c>
      <c r="R9" s="9" t="str">
        <f t="shared" si="3"/>
        <v/>
      </c>
    </row>
    <row r="10" spans="1:18" ht="30" x14ac:dyDescent="0.25">
      <c r="A10" s="9" t="s">
        <v>65</v>
      </c>
      <c r="B10" s="10" t="s">
        <v>127</v>
      </c>
      <c r="C10" s="10" t="s">
        <v>63</v>
      </c>
      <c r="D10" s="10" t="s">
        <v>66</v>
      </c>
      <c r="E10" s="11"/>
      <c r="F10" s="11"/>
      <c r="G10" s="11"/>
      <c r="H10" s="11"/>
      <c r="I10" s="11"/>
      <c r="J10" s="11"/>
      <c r="K10" s="11"/>
      <c r="L10" s="11"/>
      <c r="M10" s="11"/>
      <c r="N10" s="11"/>
      <c r="O10" s="9">
        <f t="shared" si="0"/>
        <v>0</v>
      </c>
      <c r="P10" s="9">
        <f t="shared" si="1"/>
        <v>0</v>
      </c>
      <c r="Q10" s="13" t="str">
        <f t="shared" si="2"/>
        <v/>
      </c>
      <c r="R10" s="9" t="str">
        <f t="shared" si="3"/>
        <v/>
      </c>
    </row>
    <row r="11" spans="1:18" ht="30" x14ac:dyDescent="0.25">
      <c r="A11" s="9" t="s">
        <v>67</v>
      </c>
      <c r="B11" s="10" t="s">
        <v>127</v>
      </c>
      <c r="C11" s="10" t="s">
        <v>63</v>
      </c>
      <c r="D11" s="10" t="s">
        <v>68</v>
      </c>
      <c r="E11" s="11"/>
      <c r="F11" s="11"/>
      <c r="G11" s="11"/>
      <c r="H11" s="11"/>
      <c r="I11" s="11"/>
      <c r="J11" s="11"/>
      <c r="K11" s="11"/>
      <c r="L11" s="11"/>
      <c r="M11" s="11"/>
      <c r="N11" s="11"/>
      <c r="O11" s="9">
        <f t="shared" si="0"/>
        <v>0</v>
      </c>
      <c r="P11" s="9">
        <f t="shared" si="1"/>
        <v>0</v>
      </c>
      <c r="Q11" s="13" t="str">
        <f t="shared" si="2"/>
        <v/>
      </c>
      <c r="R11" s="9" t="str">
        <f t="shared" si="3"/>
        <v/>
      </c>
    </row>
    <row r="12" spans="1:18" ht="30" x14ac:dyDescent="0.25">
      <c r="A12" s="9" t="s">
        <v>69</v>
      </c>
      <c r="B12" s="10" t="s">
        <v>127</v>
      </c>
      <c r="C12" s="10" t="s">
        <v>63</v>
      </c>
      <c r="D12" s="10" t="s">
        <v>70</v>
      </c>
      <c r="E12" s="11"/>
      <c r="F12" s="11"/>
      <c r="G12" s="11"/>
      <c r="H12" s="11"/>
      <c r="I12" s="11"/>
      <c r="J12" s="11"/>
      <c r="K12" s="11"/>
      <c r="L12" s="11"/>
      <c r="M12" s="11"/>
      <c r="N12" s="11"/>
      <c r="O12" s="9">
        <f t="shared" si="0"/>
        <v>0</v>
      </c>
      <c r="P12" s="9">
        <f t="shared" si="1"/>
        <v>0</v>
      </c>
      <c r="Q12" s="13" t="str">
        <f t="shared" si="2"/>
        <v/>
      </c>
      <c r="R12" s="9" t="str">
        <f t="shared" si="3"/>
        <v/>
      </c>
    </row>
    <row r="13" spans="1:18" ht="30" x14ac:dyDescent="0.25">
      <c r="A13" s="9" t="s">
        <v>71</v>
      </c>
      <c r="B13" s="10" t="s">
        <v>127</v>
      </c>
      <c r="C13" s="10" t="s">
        <v>72</v>
      </c>
      <c r="D13" s="10" t="s">
        <v>73</v>
      </c>
      <c r="E13" s="11"/>
      <c r="F13" s="11"/>
      <c r="G13" s="11"/>
      <c r="H13" s="11"/>
      <c r="I13" s="11"/>
      <c r="J13" s="11"/>
      <c r="K13" s="11"/>
      <c r="L13" s="11"/>
      <c r="M13" s="11"/>
      <c r="N13" s="11"/>
      <c r="O13" s="9">
        <f t="shared" si="0"/>
        <v>0</v>
      </c>
      <c r="P13" s="9">
        <f t="shared" si="1"/>
        <v>0</v>
      </c>
      <c r="Q13" s="13" t="str">
        <f t="shared" si="2"/>
        <v/>
      </c>
      <c r="R13" s="9" t="str">
        <f t="shared" si="3"/>
        <v/>
      </c>
    </row>
    <row r="14" spans="1:18" x14ac:dyDescent="0.25">
      <c r="A14" s="9" t="s">
        <v>74</v>
      </c>
      <c r="B14" s="10" t="s">
        <v>127</v>
      </c>
      <c r="C14" s="10" t="s">
        <v>72</v>
      </c>
      <c r="D14" s="10" t="s">
        <v>75</v>
      </c>
      <c r="E14" s="11"/>
      <c r="F14" s="11"/>
      <c r="G14" s="11"/>
      <c r="H14" s="11"/>
      <c r="I14" s="11"/>
      <c r="J14" s="11"/>
      <c r="K14" s="11"/>
      <c r="L14" s="11"/>
      <c r="M14" s="11"/>
      <c r="N14" s="11"/>
      <c r="O14" s="9">
        <f t="shared" si="0"/>
        <v>0</v>
      </c>
      <c r="P14" s="9">
        <f t="shared" si="1"/>
        <v>0</v>
      </c>
      <c r="Q14" s="13" t="str">
        <f t="shared" si="2"/>
        <v/>
      </c>
      <c r="R14" s="9" t="str">
        <f t="shared" si="3"/>
        <v/>
      </c>
    </row>
    <row r="15" spans="1:18" ht="30" x14ac:dyDescent="0.25">
      <c r="A15" s="9" t="s">
        <v>76</v>
      </c>
      <c r="B15" s="10" t="s">
        <v>127</v>
      </c>
      <c r="C15" s="10" t="s">
        <v>72</v>
      </c>
      <c r="D15" s="10" t="s">
        <v>77</v>
      </c>
      <c r="E15" s="11"/>
      <c r="F15" s="11"/>
      <c r="G15" s="11"/>
      <c r="H15" s="11"/>
      <c r="I15" s="11"/>
      <c r="J15" s="11"/>
      <c r="K15" s="11"/>
      <c r="L15" s="11"/>
      <c r="M15" s="11"/>
      <c r="N15" s="11"/>
      <c r="O15" s="9">
        <f t="shared" si="0"/>
        <v>0</v>
      </c>
      <c r="P15" s="9">
        <f t="shared" si="1"/>
        <v>0</v>
      </c>
      <c r="Q15" s="13" t="str">
        <f t="shared" si="2"/>
        <v/>
      </c>
      <c r="R15" s="9" t="str">
        <f t="shared" si="3"/>
        <v/>
      </c>
    </row>
    <row r="16" spans="1:18" ht="30" x14ac:dyDescent="0.25">
      <c r="A16" s="9" t="s">
        <v>78</v>
      </c>
      <c r="B16" s="10" t="s">
        <v>127</v>
      </c>
      <c r="C16" s="10" t="s">
        <v>72</v>
      </c>
      <c r="D16" s="10" t="s">
        <v>79</v>
      </c>
      <c r="E16" s="11"/>
      <c r="F16" s="11"/>
      <c r="G16" s="11"/>
      <c r="H16" s="11"/>
      <c r="I16" s="11"/>
      <c r="J16" s="11"/>
      <c r="K16" s="11"/>
      <c r="L16" s="11"/>
      <c r="M16" s="11"/>
      <c r="N16" s="11"/>
      <c r="O16" s="9">
        <f t="shared" si="0"/>
        <v>0</v>
      </c>
      <c r="P16" s="9">
        <f t="shared" si="1"/>
        <v>0</v>
      </c>
      <c r="Q16" s="13" t="str">
        <f t="shared" si="2"/>
        <v/>
      </c>
      <c r="R16" s="9" t="str">
        <f t="shared" si="3"/>
        <v/>
      </c>
    </row>
    <row r="17" spans="1:18" x14ac:dyDescent="0.25">
      <c r="A17" s="9" t="s">
        <v>80</v>
      </c>
      <c r="B17" s="10" t="s">
        <v>127</v>
      </c>
      <c r="C17" s="10" t="s">
        <v>81</v>
      </c>
      <c r="D17" s="10" t="s">
        <v>82</v>
      </c>
      <c r="E17" s="11"/>
      <c r="F17" s="11"/>
      <c r="G17" s="11"/>
      <c r="H17" s="11"/>
      <c r="I17" s="11"/>
      <c r="J17" s="11"/>
      <c r="K17" s="11"/>
      <c r="L17" s="11"/>
      <c r="M17" s="11"/>
      <c r="N17" s="11"/>
      <c r="O17" s="9">
        <f t="shared" si="0"/>
        <v>0</v>
      </c>
      <c r="P17" s="9">
        <f t="shared" si="1"/>
        <v>0</v>
      </c>
      <c r="Q17" s="13" t="str">
        <f t="shared" si="2"/>
        <v/>
      </c>
      <c r="R17" s="9" t="str">
        <f t="shared" si="3"/>
        <v/>
      </c>
    </row>
    <row r="18" spans="1:18" ht="30" x14ac:dyDescent="0.25">
      <c r="A18" s="9" t="s">
        <v>83</v>
      </c>
      <c r="B18" s="10" t="s">
        <v>127</v>
      </c>
      <c r="C18" s="10" t="s">
        <v>81</v>
      </c>
      <c r="D18" s="10" t="s">
        <v>84</v>
      </c>
      <c r="E18" s="11"/>
      <c r="F18" s="11"/>
      <c r="G18" s="11"/>
      <c r="H18" s="11"/>
      <c r="I18" s="11"/>
      <c r="J18" s="11"/>
      <c r="K18" s="11"/>
      <c r="L18" s="11"/>
      <c r="M18" s="11"/>
      <c r="N18" s="11"/>
      <c r="O18" s="9">
        <f t="shared" si="0"/>
        <v>0</v>
      </c>
      <c r="P18" s="9">
        <f t="shared" si="1"/>
        <v>0</v>
      </c>
      <c r="Q18" s="13" t="str">
        <f t="shared" si="2"/>
        <v/>
      </c>
      <c r="R18" s="9" t="str">
        <f t="shared" si="3"/>
        <v/>
      </c>
    </row>
    <row r="19" spans="1:18" ht="30" x14ac:dyDescent="0.25">
      <c r="A19" s="9" t="s">
        <v>85</v>
      </c>
      <c r="B19" s="10" t="s">
        <v>127</v>
      </c>
      <c r="C19" s="10" t="s">
        <v>81</v>
      </c>
      <c r="D19" s="10" t="s">
        <v>86</v>
      </c>
      <c r="E19" s="11"/>
      <c r="F19" s="11"/>
      <c r="G19" s="11"/>
      <c r="H19" s="11"/>
      <c r="I19" s="11"/>
      <c r="J19" s="11"/>
      <c r="K19" s="11"/>
      <c r="L19" s="11"/>
      <c r="M19" s="11"/>
      <c r="N19" s="11"/>
      <c r="O19" s="9">
        <f t="shared" si="0"/>
        <v>0</v>
      </c>
      <c r="P19" s="9">
        <f t="shared" si="1"/>
        <v>0</v>
      </c>
      <c r="Q19" s="13" t="str">
        <f t="shared" si="2"/>
        <v/>
      </c>
      <c r="R19" s="9" t="str">
        <f t="shared" si="3"/>
        <v/>
      </c>
    </row>
    <row r="20" spans="1:18" ht="30" x14ac:dyDescent="0.25">
      <c r="A20" s="9" t="s">
        <v>87</v>
      </c>
      <c r="B20" s="10" t="s">
        <v>127</v>
      </c>
      <c r="C20" s="10" t="s">
        <v>81</v>
      </c>
      <c r="D20" s="10" t="s">
        <v>88</v>
      </c>
      <c r="E20" s="11"/>
      <c r="F20" s="11"/>
      <c r="G20" s="11"/>
      <c r="H20" s="11"/>
      <c r="I20" s="11"/>
      <c r="J20" s="11"/>
      <c r="K20" s="11"/>
      <c r="L20" s="11"/>
      <c r="M20" s="11"/>
      <c r="N20" s="11"/>
      <c r="O20" s="9">
        <f t="shared" si="0"/>
        <v>0</v>
      </c>
      <c r="P20" s="9">
        <f t="shared" si="1"/>
        <v>0</v>
      </c>
      <c r="Q20" s="13" t="str">
        <f t="shared" si="2"/>
        <v/>
      </c>
      <c r="R20" s="9" t="str">
        <f t="shared" si="3"/>
        <v/>
      </c>
    </row>
    <row r="21" spans="1:18" x14ac:dyDescent="0.25">
      <c r="A21" s="9" t="s">
        <v>89</v>
      </c>
      <c r="B21" s="10" t="s">
        <v>128</v>
      </c>
      <c r="C21" s="10" t="s">
        <v>91</v>
      </c>
      <c r="D21" s="10" t="s">
        <v>92</v>
      </c>
      <c r="E21" s="11"/>
      <c r="F21" s="11"/>
      <c r="G21" s="11"/>
      <c r="H21" s="11"/>
      <c r="I21" s="11"/>
      <c r="J21" s="11"/>
      <c r="K21" s="11"/>
      <c r="L21" s="11"/>
      <c r="M21" s="11"/>
      <c r="N21" s="11"/>
      <c r="O21" s="9">
        <f t="shared" si="0"/>
        <v>0</v>
      </c>
      <c r="P21" s="9">
        <f t="shared" si="1"/>
        <v>0</v>
      </c>
      <c r="Q21" s="13" t="str">
        <f t="shared" si="2"/>
        <v/>
      </c>
      <c r="R21" s="9" t="str">
        <f t="shared" si="3"/>
        <v/>
      </c>
    </row>
    <row r="22" spans="1:18" x14ac:dyDescent="0.25">
      <c r="A22" s="9" t="s">
        <v>93</v>
      </c>
      <c r="B22" s="10" t="s">
        <v>128</v>
      </c>
      <c r="C22" s="10" t="s">
        <v>91</v>
      </c>
      <c r="D22" s="10" t="s">
        <v>94</v>
      </c>
      <c r="E22" s="11"/>
      <c r="F22" s="11"/>
      <c r="G22" s="11"/>
      <c r="H22" s="11"/>
      <c r="I22" s="11"/>
      <c r="J22" s="11"/>
      <c r="K22" s="11"/>
      <c r="L22" s="11"/>
      <c r="M22" s="11"/>
      <c r="N22" s="11"/>
      <c r="O22" s="9">
        <f t="shared" si="0"/>
        <v>0</v>
      </c>
      <c r="P22" s="9">
        <f t="shared" si="1"/>
        <v>0</v>
      </c>
      <c r="Q22" s="13" t="str">
        <f t="shared" si="2"/>
        <v/>
      </c>
      <c r="R22" s="9" t="str">
        <f t="shared" si="3"/>
        <v/>
      </c>
    </row>
    <row r="23" spans="1:18" x14ac:dyDescent="0.25">
      <c r="A23" s="9" t="s">
        <v>95</v>
      </c>
      <c r="B23" s="10" t="s">
        <v>128</v>
      </c>
      <c r="C23" s="10" t="s">
        <v>91</v>
      </c>
      <c r="D23" s="10" t="s">
        <v>96</v>
      </c>
      <c r="E23" s="11"/>
      <c r="F23" s="11"/>
      <c r="G23" s="11"/>
      <c r="H23" s="11"/>
      <c r="I23" s="11"/>
      <c r="J23" s="11"/>
      <c r="K23" s="11"/>
      <c r="L23" s="11"/>
      <c r="M23" s="11"/>
      <c r="N23" s="11"/>
      <c r="O23" s="9">
        <f t="shared" si="0"/>
        <v>0</v>
      </c>
      <c r="P23" s="9">
        <f t="shared" si="1"/>
        <v>0</v>
      </c>
      <c r="Q23" s="13" t="str">
        <f t="shared" si="2"/>
        <v/>
      </c>
      <c r="R23" s="9" t="str">
        <f t="shared" si="3"/>
        <v/>
      </c>
    </row>
    <row r="24" spans="1:18" ht="30" x14ac:dyDescent="0.25">
      <c r="A24" s="9" t="s">
        <v>97</v>
      </c>
      <c r="B24" s="10" t="s">
        <v>128</v>
      </c>
      <c r="C24" s="10" t="s">
        <v>91</v>
      </c>
      <c r="D24" s="10" t="s">
        <v>98</v>
      </c>
      <c r="E24" s="11"/>
      <c r="F24" s="11"/>
      <c r="G24" s="11"/>
      <c r="H24" s="11"/>
      <c r="I24" s="11"/>
      <c r="J24" s="11"/>
      <c r="K24" s="11"/>
      <c r="L24" s="11"/>
      <c r="M24" s="11"/>
      <c r="N24" s="11"/>
      <c r="O24" s="9">
        <f t="shared" si="0"/>
        <v>0</v>
      </c>
      <c r="P24" s="9">
        <f t="shared" si="1"/>
        <v>0</v>
      </c>
      <c r="Q24" s="13" t="str">
        <f t="shared" si="2"/>
        <v/>
      </c>
      <c r="R24" s="9" t="str">
        <f t="shared" si="3"/>
        <v/>
      </c>
    </row>
    <row r="25" spans="1:18" x14ac:dyDescent="0.25">
      <c r="A25" s="9" t="s">
        <v>99</v>
      </c>
      <c r="B25" s="10" t="s">
        <v>128</v>
      </c>
      <c r="C25" s="10" t="s">
        <v>100</v>
      </c>
      <c r="D25" s="10" t="s">
        <v>101</v>
      </c>
      <c r="E25" s="11"/>
      <c r="F25" s="11"/>
      <c r="G25" s="11"/>
      <c r="H25" s="11"/>
      <c r="I25" s="11"/>
      <c r="J25" s="11"/>
      <c r="K25" s="11"/>
      <c r="L25" s="11"/>
      <c r="M25" s="11"/>
      <c r="N25" s="11"/>
      <c r="O25" s="9">
        <f t="shared" si="0"/>
        <v>0</v>
      </c>
      <c r="P25" s="9">
        <f t="shared" si="1"/>
        <v>0</v>
      </c>
      <c r="Q25" s="13" t="str">
        <f t="shared" si="2"/>
        <v/>
      </c>
      <c r="R25" s="9" t="str">
        <f t="shared" si="3"/>
        <v/>
      </c>
    </row>
    <row r="26" spans="1:18" x14ac:dyDescent="0.25">
      <c r="A26" s="9" t="s">
        <v>102</v>
      </c>
      <c r="B26" s="10" t="s">
        <v>128</v>
      </c>
      <c r="C26" s="10" t="s">
        <v>100</v>
      </c>
      <c r="D26" s="10" t="s">
        <v>103</v>
      </c>
      <c r="E26" s="11"/>
      <c r="F26" s="11"/>
      <c r="G26" s="11"/>
      <c r="H26" s="11"/>
      <c r="I26" s="11"/>
      <c r="J26" s="11"/>
      <c r="K26" s="11"/>
      <c r="L26" s="11"/>
      <c r="M26" s="11"/>
      <c r="N26" s="11"/>
      <c r="O26" s="9">
        <f t="shared" si="0"/>
        <v>0</v>
      </c>
      <c r="P26" s="9">
        <f t="shared" si="1"/>
        <v>0</v>
      </c>
      <c r="Q26" s="13" t="str">
        <f t="shared" si="2"/>
        <v/>
      </c>
      <c r="R26" s="9" t="str">
        <f t="shared" si="3"/>
        <v/>
      </c>
    </row>
    <row r="27" spans="1:18" x14ac:dyDescent="0.25">
      <c r="A27" s="9" t="s">
        <v>111</v>
      </c>
      <c r="B27" s="10" t="s">
        <v>128</v>
      </c>
      <c r="C27" s="10"/>
      <c r="D27" s="10" t="s">
        <v>113</v>
      </c>
      <c r="E27" s="11"/>
      <c r="F27" s="11"/>
      <c r="G27" s="11"/>
      <c r="H27" s="11"/>
      <c r="I27" s="11"/>
      <c r="J27" s="11"/>
      <c r="K27" s="11"/>
      <c r="L27" s="11"/>
      <c r="M27" s="11"/>
      <c r="N27" s="11"/>
      <c r="O27" s="9">
        <f t="shared" si="0"/>
        <v>0</v>
      </c>
      <c r="P27" s="9">
        <f t="shared" si="1"/>
        <v>0</v>
      </c>
      <c r="Q27" s="13" t="str">
        <f t="shared" si="2"/>
        <v/>
      </c>
      <c r="R27" s="9" t="str">
        <f t="shared" si="3"/>
        <v/>
      </c>
    </row>
    <row r="28" spans="1:18" x14ac:dyDescent="0.25">
      <c r="A28" s="9" t="s">
        <v>114</v>
      </c>
      <c r="B28" s="10" t="s">
        <v>128</v>
      </c>
      <c r="C28" s="10"/>
      <c r="D28" s="10" t="s">
        <v>115</v>
      </c>
      <c r="E28" s="11"/>
      <c r="F28" s="11"/>
      <c r="G28" s="11"/>
      <c r="H28" s="11"/>
      <c r="I28" s="11"/>
      <c r="J28" s="11"/>
      <c r="K28" s="11"/>
      <c r="L28" s="11"/>
      <c r="M28" s="11"/>
      <c r="N28" s="11"/>
      <c r="O28" s="9">
        <f t="shared" si="0"/>
        <v>0</v>
      </c>
      <c r="P28" s="9">
        <f t="shared" si="1"/>
        <v>0</v>
      </c>
      <c r="Q28" s="13" t="str">
        <f t="shared" si="2"/>
        <v/>
      </c>
      <c r="R28" s="9" t="str">
        <f t="shared" si="3"/>
        <v/>
      </c>
    </row>
    <row r="29" spans="1:18" x14ac:dyDescent="0.25">
      <c r="A29" s="9" t="s">
        <v>116</v>
      </c>
      <c r="B29" s="10" t="s">
        <v>128</v>
      </c>
      <c r="C29" s="10"/>
      <c r="D29" s="10" t="s">
        <v>117</v>
      </c>
      <c r="E29" s="11"/>
      <c r="F29" s="11"/>
      <c r="G29" s="11"/>
      <c r="H29" s="11"/>
      <c r="I29" s="11"/>
      <c r="J29" s="11"/>
      <c r="K29" s="11"/>
      <c r="L29" s="11"/>
      <c r="M29" s="11"/>
      <c r="N29" s="11"/>
      <c r="O29" s="9">
        <f t="shared" si="0"/>
        <v>0</v>
      </c>
      <c r="P29" s="9">
        <f t="shared" si="1"/>
        <v>0</v>
      </c>
      <c r="Q29" s="13" t="str">
        <f t="shared" si="2"/>
        <v/>
      </c>
      <c r="R29" s="9" t="str">
        <f t="shared" si="3"/>
        <v/>
      </c>
    </row>
    <row r="30" spans="1:18" x14ac:dyDescent="0.25">
      <c r="A30" s="9" t="s">
        <v>118</v>
      </c>
      <c r="B30" s="10" t="s">
        <v>128</v>
      </c>
      <c r="C30" s="10"/>
      <c r="D30" s="10" t="s">
        <v>119</v>
      </c>
      <c r="E30" s="11"/>
      <c r="F30" s="11"/>
      <c r="G30" s="11"/>
      <c r="H30" s="11"/>
      <c r="I30" s="11"/>
      <c r="J30" s="11"/>
      <c r="K30" s="11"/>
      <c r="L30" s="11"/>
      <c r="M30" s="11"/>
      <c r="N30" s="11"/>
      <c r="O30" s="9">
        <f t="shared" si="0"/>
        <v>0</v>
      </c>
      <c r="P30" s="9">
        <f t="shared" si="1"/>
        <v>0</v>
      </c>
      <c r="Q30" s="13" t="str">
        <f t="shared" si="2"/>
        <v/>
      </c>
      <c r="R30" s="9" t="str">
        <f t="shared" si="3"/>
        <v/>
      </c>
    </row>
    <row r="31" spans="1:18" ht="30" x14ac:dyDescent="0.25">
      <c r="A31" s="9" t="s">
        <v>129</v>
      </c>
      <c r="B31" s="10" t="s">
        <v>130</v>
      </c>
      <c r="C31" s="10" t="s">
        <v>92</v>
      </c>
      <c r="D31" s="10" t="s">
        <v>131</v>
      </c>
      <c r="E31" s="11"/>
      <c r="F31" s="11"/>
      <c r="G31" s="11"/>
      <c r="H31" s="11"/>
      <c r="I31" s="11"/>
      <c r="J31" s="11"/>
      <c r="K31" s="11"/>
      <c r="L31" s="11"/>
      <c r="M31" s="11"/>
      <c r="N31" s="11"/>
      <c r="O31" s="9">
        <f t="shared" si="0"/>
        <v>0</v>
      </c>
      <c r="P31" s="9">
        <f t="shared" si="1"/>
        <v>0</v>
      </c>
      <c r="Q31" s="13" t="str">
        <f t="shared" si="2"/>
        <v/>
      </c>
      <c r="R31" s="9" t="str">
        <f t="shared" si="3"/>
        <v/>
      </c>
    </row>
    <row r="32" spans="1:18" ht="30" x14ac:dyDescent="0.25">
      <c r="A32" s="9" t="s">
        <v>132</v>
      </c>
      <c r="B32" s="10" t="s">
        <v>130</v>
      </c>
      <c r="C32" s="10" t="s">
        <v>94</v>
      </c>
      <c r="D32" s="10" t="s">
        <v>133</v>
      </c>
      <c r="E32" s="11"/>
      <c r="F32" s="11"/>
      <c r="G32" s="11"/>
      <c r="H32" s="11"/>
      <c r="I32" s="11"/>
      <c r="J32" s="11"/>
      <c r="K32" s="11"/>
      <c r="L32" s="11"/>
      <c r="M32" s="11"/>
      <c r="N32" s="11"/>
      <c r="O32" s="9">
        <f t="shared" si="0"/>
        <v>0</v>
      </c>
      <c r="P32" s="9">
        <f t="shared" si="1"/>
        <v>0</v>
      </c>
      <c r="Q32" s="13" t="str">
        <f t="shared" si="2"/>
        <v/>
      </c>
      <c r="R32" s="9" t="str">
        <f t="shared" si="3"/>
        <v/>
      </c>
    </row>
    <row r="33" spans="1:18" ht="30" x14ac:dyDescent="0.25">
      <c r="A33" s="9" t="s">
        <v>134</v>
      </c>
      <c r="B33" s="10" t="s">
        <v>130</v>
      </c>
      <c r="C33" s="10" t="s">
        <v>94</v>
      </c>
      <c r="D33" s="10" t="s">
        <v>135</v>
      </c>
      <c r="E33" s="11"/>
      <c r="F33" s="11"/>
      <c r="G33" s="11"/>
      <c r="H33" s="11"/>
      <c r="I33" s="11"/>
      <c r="J33" s="11"/>
      <c r="K33" s="11"/>
      <c r="L33" s="11"/>
      <c r="M33" s="11"/>
      <c r="N33" s="11"/>
      <c r="O33" s="9">
        <f t="shared" si="0"/>
        <v>0</v>
      </c>
      <c r="P33" s="9">
        <f t="shared" si="1"/>
        <v>0</v>
      </c>
      <c r="Q33" s="13" t="str">
        <f t="shared" si="2"/>
        <v/>
      </c>
      <c r="R33" s="9" t="str">
        <f t="shared" si="3"/>
        <v/>
      </c>
    </row>
    <row r="34" spans="1:18" ht="30" x14ac:dyDescent="0.25">
      <c r="A34" s="9" t="s">
        <v>136</v>
      </c>
      <c r="B34" s="10" t="s">
        <v>130</v>
      </c>
      <c r="C34" s="10" t="s">
        <v>96</v>
      </c>
      <c r="D34" s="10" t="s">
        <v>137</v>
      </c>
      <c r="E34" s="11"/>
      <c r="F34" s="11"/>
      <c r="G34" s="11"/>
      <c r="H34" s="11"/>
      <c r="I34" s="11"/>
      <c r="J34" s="11"/>
      <c r="K34" s="11"/>
      <c r="L34" s="11"/>
      <c r="M34" s="11"/>
      <c r="N34" s="11"/>
      <c r="O34" s="9">
        <f t="shared" si="0"/>
        <v>0</v>
      </c>
      <c r="P34" s="9">
        <f t="shared" si="1"/>
        <v>0</v>
      </c>
      <c r="Q34" s="13" t="str">
        <f t="shared" si="2"/>
        <v/>
      </c>
      <c r="R34" s="9" t="str">
        <f t="shared" si="3"/>
        <v/>
      </c>
    </row>
    <row r="35" spans="1:18" ht="30" x14ac:dyDescent="0.25">
      <c r="A35" s="9" t="s">
        <v>138</v>
      </c>
      <c r="B35" s="10" t="s">
        <v>130</v>
      </c>
      <c r="C35" s="10" t="s">
        <v>98</v>
      </c>
      <c r="D35" s="10" t="s">
        <v>139</v>
      </c>
      <c r="E35" s="11"/>
      <c r="F35" s="11"/>
      <c r="G35" s="11"/>
      <c r="H35" s="11"/>
      <c r="I35" s="11"/>
      <c r="J35" s="11"/>
      <c r="K35" s="11"/>
      <c r="L35" s="11"/>
      <c r="M35" s="11"/>
      <c r="N35" s="11"/>
      <c r="O35" s="9">
        <f t="shared" si="0"/>
        <v>0</v>
      </c>
      <c r="P35" s="9">
        <f t="shared" si="1"/>
        <v>0</v>
      </c>
      <c r="Q35" s="13" t="str">
        <f t="shared" si="2"/>
        <v/>
      </c>
      <c r="R35" s="9" t="str">
        <f t="shared" si="3"/>
        <v/>
      </c>
    </row>
    <row r="36" spans="1:18" ht="30" x14ac:dyDescent="0.25">
      <c r="A36" s="9" t="s">
        <v>140</v>
      </c>
      <c r="B36" s="10" t="s">
        <v>130</v>
      </c>
      <c r="C36" s="10" t="s">
        <v>101</v>
      </c>
      <c r="D36" s="10" t="s">
        <v>141</v>
      </c>
      <c r="E36" s="11"/>
      <c r="F36" s="11"/>
      <c r="G36" s="11"/>
      <c r="H36" s="11"/>
      <c r="I36" s="11"/>
      <c r="J36" s="11"/>
      <c r="K36" s="11"/>
      <c r="L36" s="11"/>
      <c r="M36" s="11"/>
      <c r="N36" s="11"/>
      <c r="O36" s="9">
        <f t="shared" si="0"/>
        <v>0</v>
      </c>
      <c r="P36" s="9">
        <f t="shared" si="1"/>
        <v>0</v>
      </c>
      <c r="Q36" s="13" t="str">
        <f t="shared" si="2"/>
        <v/>
      </c>
      <c r="R36" s="9" t="str">
        <f t="shared" si="3"/>
        <v/>
      </c>
    </row>
    <row r="37" spans="1:18" ht="30" x14ac:dyDescent="0.25">
      <c r="A37" s="9" t="s">
        <v>142</v>
      </c>
      <c r="B37" s="10" t="s">
        <v>130</v>
      </c>
      <c r="C37" s="10" t="s">
        <v>101</v>
      </c>
      <c r="D37" s="10" t="s">
        <v>143</v>
      </c>
      <c r="E37" s="11"/>
      <c r="F37" s="11"/>
      <c r="G37" s="11"/>
      <c r="H37" s="11"/>
      <c r="I37" s="11"/>
      <c r="J37" s="11"/>
      <c r="K37" s="11"/>
      <c r="L37" s="11"/>
      <c r="M37" s="11"/>
      <c r="N37" s="11"/>
      <c r="O37" s="9">
        <f t="shared" si="0"/>
        <v>0</v>
      </c>
      <c r="P37" s="9">
        <f t="shared" si="1"/>
        <v>0</v>
      </c>
      <c r="Q37" s="13" t="str">
        <f t="shared" si="2"/>
        <v/>
      </c>
      <c r="R37" s="9" t="str">
        <f t="shared" si="3"/>
        <v/>
      </c>
    </row>
    <row r="39" spans="1:18" x14ac:dyDescent="0.25">
      <c r="D39" s="4" t="s">
        <v>144</v>
      </c>
    </row>
  </sheetData>
  <dataValidations count="1">
    <dataValidation type="list" allowBlank="1" errorTitle="Yes or No" error="Enter Y or N." sqref="E5 E6 E7 E8 E9 E10 E11 E12 E13 E14 E15 E16 E17 E18 E19 E20 E21 E22 E23 E24 E25 E26 E27 E28 E29 E30 E31 E32 E33 E34 E35 E36 E37 F5 F6 F7 F8 F9 F10 F11 F12 F13 F14 F15 F16 F17 F18 F19 F20 F21 F22 F23 F24 F25 F26 F27 F28 F29 F30 F31 F32 F33 F34 F35 F36 F37 G5 G6 G7 G8 G9 G10 G11 G12 G13 G14 G15 G16 G17 G18 G19 G20 G21 G22 G23 G24 G25 G26 G27 G28 G29 G30 G31 G32 G33 G34 G35 G36 G37 H5 H6 H7 H8 H9 H10 H11 H12 H13 H14 H15 H16 H17 H18 H19 H20 H21 H22 H23 H24 H25 H26 H27 H28 H29 H30 H31 H32 H33 H34 H35 H36 H37 I5 I6 I7 I8 I9 I10 I11 I12 I13 I14 I15 I16 I17 I18 I19 I20 I21 I22 I23 I24 I25 I26 I27 I28 I29 I30 I31 I32 I33 I34 I35 I36 I37 J5 J6 J7 J8 J9 J10 J11 J12 J13 J14 J15 J16 J17 J18 J19 J20 J21 J22 J23 J24 J25 J26 J27 J28 J29 J30 J31 J32 J33 J34 J35 J36 J37 K5 K6 K7 K8 K9 K10 K11 K12 K13 K14 K15 K16 K17 K18 K19 K20 K21 K22 K23 K24 K25 K26 K27 K28 K29 K30 K31 K32 K33 K34 K35 K36 K37 L5 L6 L7 L8 L9 L10 L11 L12 L13 L14 L15 L16 L17 L18 L19 L20 L21 L22 L23 L24 L25 L26 L27 L28 L29 L30 L31 L32 L33 L34 L35 L36 L37 M5 M6 M7 M8 M9 M10 M11 M12 M13 M14 M15 M16 M17 M18 M19 M20 M21 M22 M23 M24 M25 M26 M27 M28 M29 M30 M31 M32 M33 M34 M35 M36 M37 N5 N6 N7 N8 N9 N10 N11 N12 N13 N14 N15 N16 N17 N18 N19 N20 N21 N22 N23 N24 N25 N26 N27 N28 N29 N30 N31 N32 N33 N34 N35 N36 N37" xr:uid="{00000000-0002-0000-0300-000000000000}">
      <formula1>"Y,N"</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Read Me</vt:lpstr>
      <vt:lpstr>Relevance</vt:lpstr>
      <vt:lpstr>Clarity</vt:lpstr>
      <vt:lpstr>Yes-No Checks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Aethelstan Agatho</cp:lastModifiedBy>
  <dcterms:created xsi:type="dcterms:W3CDTF">2026-09-28T06:56:45Z</dcterms:created>
  <dcterms:modified xsi:type="dcterms:W3CDTF">2026-09-28T06:57:18Z</dcterms:modified>
</cp:coreProperties>
</file>